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1. DỰ ÁN ĐANG TRIỂN KHAI\2. XUẤT KHẨU\112. 10725-009 DGRP VIOLA - STRUCTURAL STEEL\6. QC\Mr.Sang\"/>
    </mc:Choice>
  </mc:AlternateContent>
  <xr:revisionPtr revIDLastSave="0" documentId="13_ncr:1_{92A79810-B54E-44A1-B833-7E80FC8FFB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ÊN BẢN BÀN GIAO" sheetId="1" r:id="rId1"/>
    <sheet name="Sheet3" sheetId="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'BIÊN BẢN BÀN GIAO'!$A$14:$S$697</definedName>
    <definedName name="AA">#REF!</definedName>
    <definedName name="ADAD">#REF!</definedName>
    <definedName name="AEEA">#REF!</definedName>
    <definedName name="BB">#REF!</definedName>
    <definedName name="CC">#REF!</definedName>
    <definedName name="ĐÂ">#REF!</definedName>
    <definedName name="DD">#REF!</definedName>
    <definedName name="DE">#REF!</definedName>
    <definedName name="ds_hm">OFFSET('[1]BANG THEO DOI CHINH XAC'!$B:$B,0,0,COUNTA('[1]BANG THEO DOI CHINH XAC'!$B:$B)-1,1)</definedName>
    <definedName name="ds_hmtm">OFFSET('[1]BANG THEO DOI CHINH XAC'!$B:$B,MATCH('[1]BANG THEO DOI CHINH XAC'!A1:G2&amp;"*",ds_hm,0)-1,0,COUNTIF(ds_hm,'[1]BANG THEO DOI CHINH XAC'!A1:G2&amp;"*"),1)</definedName>
    <definedName name="Ể">#REF!</definedName>
    <definedName name="ÊRWRWRWRWR">#REF!</definedName>
    <definedName name="FSF">#REF!</definedName>
    <definedName name="FSFSF">#REF!</definedName>
    <definedName name="GDGD">#REF!</definedName>
    <definedName name="M">#REF!</definedName>
    <definedName name="MEAT_LONG_AN___NHÀ_XE_3_TẦNG">OFFSET([1]!Table1[TÊN HẠNG MỤC],MATCH('[1]BANG THEO DOI CHINH XAC'!A1&amp;"*",TTT,0)-1,COUNTIF(TTT,'[1]BANG THEO DOI CHINH XAC'!A1&amp;"*"),1)</definedName>
    <definedName name="mnr2c33">#REF!</definedName>
    <definedName name="mnr8c33">#REF!</definedName>
    <definedName name="_xlnm.Print_Area" localSheetId="0">'BIÊN BẢN BÀN GIAO'!$B$1:$S$697</definedName>
    <definedName name="_xlnm.Print_Titles" localSheetId="0">'BIÊN BẢN BÀN GIAO'!$12:$13</definedName>
    <definedName name="ProjectList">[2]!Các_dự_án[DỰ ÁN]</definedName>
    <definedName name="ProjectStart">[3]!Nhiệm_vụ[[#Headers],[Dự án]]</definedName>
    <definedName name="RƯER">#REF!</definedName>
    <definedName name="SFSF">#REF!</definedName>
    <definedName name="TYPE">#REF!</definedName>
    <definedName name="YN_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6" i="1" l="1"/>
  <c r="A116" i="1" s="1"/>
  <c r="B115" i="1"/>
  <c r="A115" i="1" s="1"/>
  <c r="B114" i="1"/>
  <c r="A114" i="1" s="1"/>
  <c r="B113" i="1"/>
  <c r="A113" i="1" s="1"/>
  <c r="B112" i="1"/>
  <c r="A112" i="1" s="1"/>
  <c r="B111" i="1"/>
  <c r="A111" i="1" s="1"/>
  <c r="B110" i="1"/>
  <c r="A110" i="1" s="1"/>
  <c r="B109" i="1"/>
  <c r="A109" i="1" s="1"/>
  <c r="B108" i="1"/>
  <c r="A108" i="1" s="1"/>
  <c r="B107" i="1"/>
  <c r="A107" i="1" s="1"/>
  <c r="B106" i="1"/>
  <c r="A106" i="1" s="1"/>
  <c r="B105" i="1"/>
  <c r="A105" i="1" s="1"/>
  <c r="B104" i="1"/>
  <c r="A104" i="1" s="1"/>
  <c r="B103" i="1"/>
  <c r="A103" i="1" s="1"/>
  <c r="B102" i="1"/>
  <c r="A102" i="1" s="1"/>
  <c r="B101" i="1"/>
  <c r="A101" i="1" s="1"/>
  <c r="B100" i="1"/>
  <c r="A100" i="1" s="1"/>
  <c r="B99" i="1"/>
  <c r="A99" i="1" s="1"/>
  <c r="B98" i="1"/>
  <c r="A98" i="1" s="1"/>
  <c r="B97" i="1"/>
  <c r="A97" i="1" s="1"/>
  <c r="B96" i="1"/>
  <c r="A96" i="1" s="1"/>
  <c r="B95" i="1"/>
  <c r="A95" i="1" s="1"/>
  <c r="B94" i="1"/>
  <c r="A94" i="1" s="1"/>
  <c r="D116" i="1"/>
  <c r="E116" i="1" s="1"/>
  <c r="J116" i="1" s="1"/>
  <c r="L116" i="1" s="1"/>
  <c r="D115" i="1"/>
  <c r="E115" i="1" s="1"/>
  <c r="J115" i="1" s="1"/>
  <c r="L115" i="1" s="1"/>
  <c r="D114" i="1"/>
  <c r="E114" i="1" s="1"/>
  <c r="I114" i="1" s="1"/>
  <c r="D113" i="1"/>
  <c r="E113" i="1" s="1"/>
  <c r="I113" i="1" s="1"/>
  <c r="D112" i="1"/>
  <c r="E112" i="1" s="1"/>
  <c r="J112" i="1" s="1"/>
  <c r="L112" i="1" s="1"/>
  <c r="D111" i="1"/>
  <c r="E111" i="1" s="1"/>
  <c r="J111" i="1" s="1"/>
  <c r="L111" i="1" s="1"/>
  <c r="D110" i="1"/>
  <c r="E110" i="1" s="1"/>
  <c r="I110" i="1" s="1"/>
  <c r="D109" i="1"/>
  <c r="E109" i="1" s="1"/>
  <c r="J109" i="1" s="1"/>
  <c r="L109" i="1" s="1"/>
  <c r="D108" i="1"/>
  <c r="E108" i="1" s="1"/>
  <c r="J108" i="1" s="1"/>
  <c r="L108" i="1" s="1"/>
  <c r="D107" i="1"/>
  <c r="E107" i="1" s="1"/>
  <c r="J107" i="1" s="1"/>
  <c r="L107" i="1" s="1"/>
  <c r="D106" i="1"/>
  <c r="E106" i="1" s="1"/>
  <c r="J106" i="1" s="1"/>
  <c r="L106" i="1" s="1"/>
  <c r="D105" i="1"/>
  <c r="E105" i="1" s="1"/>
  <c r="I105" i="1" s="1"/>
  <c r="D104" i="1"/>
  <c r="E104" i="1" s="1"/>
  <c r="I104" i="1" s="1"/>
  <c r="D103" i="1"/>
  <c r="E103" i="1" s="1"/>
  <c r="J103" i="1" s="1"/>
  <c r="L103" i="1" s="1"/>
  <c r="D102" i="1"/>
  <c r="E102" i="1" s="1"/>
  <c r="J102" i="1" s="1"/>
  <c r="L102" i="1" s="1"/>
  <c r="D101" i="1"/>
  <c r="E101" i="1" s="1"/>
  <c r="J101" i="1" s="1"/>
  <c r="L101" i="1" s="1"/>
  <c r="D100" i="1"/>
  <c r="E100" i="1" s="1"/>
  <c r="J100" i="1" s="1"/>
  <c r="L100" i="1" s="1"/>
  <c r="D99" i="1"/>
  <c r="E99" i="1" s="1"/>
  <c r="J99" i="1" s="1"/>
  <c r="L99" i="1" s="1"/>
  <c r="D98" i="1"/>
  <c r="E98" i="1" s="1"/>
  <c r="I98" i="1" s="1"/>
  <c r="D97" i="1"/>
  <c r="E97" i="1" s="1"/>
  <c r="J97" i="1" s="1"/>
  <c r="L97" i="1" s="1"/>
  <c r="D96" i="1"/>
  <c r="E96" i="1" s="1"/>
  <c r="J96" i="1" s="1"/>
  <c r="L96" i="1" s="1"/>
  <c r="D95" i="1"/>
  <c r="E95" i="1" s="1"/>
  <c r="J95" i="1" s="1"/>
  <c r="L95" i="1" s="1"/>
  <c r="D94" i="1"/>
  <c r="E94" i="1" s="1"/>
  <c r="J94" i="1" s="1"/>
  <c r="L94" i="1" s="1"/>
  <c r="I94" i="1" l="1"/>
  <c r="I95" i="1"/>
  <c r="I96" i="1"/>
  <c r="I97" i="1"/>
  <c r="I101" i="1"/>
  <c r="I109" i="1"/>
  <c r="J110" i="1"/>
  <c r="L110" i="1" s="1"/>
  <c r="J105" i="1"/>
  <c r="L105" i="1" s="1"/>
  <c r="I106" i="1"/>
  <c r="I102" i="1"/>
  <c r="J104" i="1"/>
  <c r="L104" i="1" s="1"/>
  <c r="I103" i="1"/>
  <c r="I112" i="1"/>
  <c r="J98" i="1"/>
  <c r="L98" i="1" s="1"/>
  <c r="J114" i="1"/>
  <c r="L114" i="1" s="1"/>
  <c r="I99" i="1"/>
  <c r="I107" i="1"/>
  <c r="I115" i="1"/>
  <c r="I111" i="1"/>
  <c r="J113" i="1"/>
  <c r="L113" i="1" s="1"/>
  <c r="I100" i="1"/>
  <c r="I108" i="1"/>
  <c r="I116" i="1"/>
  <c r="V10" i="1" l="1"/>
  <c r="W10" i="1"/>
  <c r="V9" i="1"/>
  <c r="B16" i="1"/>
  <c r="B15" i="1"/>
  <c r="D15" i="1" l="1"/>
  <c r="D16" i="1"/>
  <c r="J60" i="4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E16" i="1" l="1"/>
  <c r="E15" i="1"/>
  <c r="A16" i="1"/>
  <c r="A15" i="1"/>
  <c r="D93" i="1" l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B93" i="1"/>
  <c r="A93" i="1" s="1"/>
  <c r="B92" i="1"/>
  <c r="A92" i="1" s="1"/>
  <c r="B91" i="1"/>
  <c r="A91" i="1" s="1"/>
  <c r="B90" i="1"/>
  <c r="A90" i="1" s="1"/>
  <c r="B89" i="1"/>
  <c r="A89" i="1" s="1"/>
  <c r="B88" i="1"/>
  <c r="A88" i="1" s="1"/>
  <c r="B87" i="1"/>
  <c r="A87" i="1" s="1"/>
  <c r="B86" i="1"/>
  <c r="A86" i="1" s="1"/>
  <c r="B85" i="1"/>
  <c r="A85" i="1" s="1"/>
  <c r="B84" i="1"/>
  <c r="A84" i="1" s="1"/>
  <c r="B83" i="1"/>
  <c r="A83" i="1" s="1"/>
  <c r="B82" i="1"/>
  <c r="A82" i="1" s="1"/>
  <c r="B81" i="1"/>
  <c r="A81" i="1" s="1"/>
  <c r="B80" i="1"/>
  <c r="A80" i="1" s="1"/>
  <c r="B79" i="1"/>
  <c r="A79" i="1" s="1"/>
  <c r="B78" i="1"/>
  <c r="A78" i="1" s="1"/>
  <c r="B77" i="1"/>
  <c r="A77" i="1" s="1"/>
  <c r="B76" i="1"/>
  <c r="A76" i="1" s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B55" i="1"/>
  <c r="A55" i="1" s="1"/>
  <c r="B54" i="1"/>
  <c r="A54" i="1" s="1"/>
  <c r="B53" i="1"/>
  <c r="A53" i="1" s="1"/>
  <c r="B52" i="1"/>
  <c r="A52" i="1" s="1"/>
  <c r="B51" i="1"/>
  <c r="A51" i="1" s="1"/>
  <c r="B50" i="1"/>
  <c r="A50" i="1" s="1"/>
  <c r="B49" i="1"/>
  <c r="A49" i="1" s="1"/>
  <c r="B48" i="1"/>
  <c r="A48" i="1" s="1"/>
  <c r="B47" i="1"/>
  <c r="A47" i="1" s="1"/>
  <c r="B46" i="1"/>
  <c r="A46" i="1" s="1"/>
  <c r="B45" i="1"/>
  <c r="A45" i="1" s="1"/>
  <c r="B44" i="1"/>
  <c r="A44" i="1" s="1"/>
  <c r="B43" i="1"/>
  <c r="A43" i="1" s="1"/>
  <c r="B42" i="1"/>
  <c r="A42" i="1" s="1"/>
  <c r="B41" i="1"/>
  <c r="A41" i="1" s="1"/>
  <c r="B40" i="1"/>
  <c r="A40" i="1" s="1"/>
  <c r="B39" i="1"/>
  <c r="A39" i="1" s="1"/>
  <c r="B38" i="1"/>
  <c r="A38" i="1" s="1"/>
  <c r="B37" i="1"/>
  <c r="A37" i="1" s="1"/>
  <c r="B36" i="1"/>
  <c r="A36" i="1" s="1"/>
  <c r="B35" i="1"/>
  <c r="A35" i="1" s="1"/>
  <c r="B34" i="1"/>
  <c r="A34" i="1" s="1"/>
  <c r="B33" i="1"/>
  <c r="A33" i="1" s="1"/>
  <c r="B32" i="1"/>
  <c r="A32" i="1" s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A23" i="1" s="1"/>
  <c r="B22" i="1"/>
  <c r="A22" i="1" s="1"/>
  <c r="B21" i="1"/>
  <c r="A21" i="1" s="1"/>
  <c r="B20" i="1"/>
  <c r="A20" i="1" s="1"/>
  <c r="B19" i="1"/>
  <c r="A19" i="1" s="1"/>
  <c r="B18" i="1"/>
  <c r="A18" i="1" s="1"/>
  <c r="B17" i="1"/>
  <c r="A17" i="1" s="1"/>
  <c r="I57" i="1" l="1"/>
  <c r="J57" i="1"/>
  <c r="L57" i="1" s="1"/>
  <c r="I58" i="1"/>
  <c r="J58" i="1"/>
  <c r="L58" i="1" s="1"/>
  <c r="J59" i="1"/>
  <c r="L59" i="1" s="1"/>
  <c r="I59" i="1"/>
  <c r="J60" i="1"/>
  <c r="L60" i="1" s="1"/>
  <c r="I60" i="1"/>
  <c r="J79" i="1"/>
  <c r="L79" i="1" s="1"/>
  <c r="I79" i="1"/>
  <c r="I81" i="1"/>
  <c r="J81" i="1"/>
  <c r="L81" i="1" s="1"/>
  <c r="J83" i="1"/>
  <c r="L83" i="1" s="1"/>
  <c r="I83" i="1"/>
  <c r="J74" i="1"/>
  <c r="L74" i="1" s="1"/>
  <c r="I74" i="1"/>
  <c r="I90" i="1"/>
  <c r="J90" i="1"/>
  <c r="L90" i="1" s="1"/>
  <c r="J75" i="1"/>
  <c r="L75" i="1" s="1"/>
  <c r="I75" i="1"/>
  <c r="J91" i="1"/>
  <c r="L91" i="1" s="1"/>
  <c r="I91" i="1"/>
  <c r="J80" i="1"/>
  <c r="L80" i="1" s="1"/>
  <c r="I80" i="1"/>
  <c r="I73" i="1"/>
  <c r="J73" i="1"/>
  <c r="L73" i="1" s="1"/>
  <c r="I76" i="1"/>
  <c r="J76" i="1"/>
  <c r="L76" i="1" s="1"/>
  <c r="J92" i="1"/>
  <c r="L92" i="1" s="1"/>
  <c r="I92" i="1"/>
  <c r="J78" i="1"/>
  <c r="L78" i="1" s="1"/>
  <c r="I78" i="1"/>
  <c r="J82" i="1"/>
  <c r="L82" i="1" s="1"/>
  <c r="I82" i="1"/>
  <c r="J77" i="1"/>
  <c r="L77" i="1" s="1"/>
  <c r="I77" i="1"/>
  <c r="I93" i="1"/>
  <c r="J93" i="1"/>
  <c r="L93" i="1" s="1"/>
  <c r="E70" i="4"/>
  <c r="D71" i="4"/>
  <c r="E71" i="4"/>
  <c r="D72" i="4"/>
  <c r="L34" i="4" s="1"/>
  <c r="E72" i="4"/>
  <c r="M34" i="4" s="1"/>
  <c r="D73" i="4"/>
  <c r="L35" i="4" s="1"/>
  <c r="E73" i="4"/>
  <c r="M35" i="4" s="1"/>
  <c r="D74" i="4"/>
  <c r="L36" i="4" s="1"/>
  <c r="E74" i="4"/>
  <c r="M36" i="4" s="1"/>
  <c r="D75" i="4"/>
  <c r="L37" i="4" s="1"/>
  <c r="E75" i="4"/>
  <c r="M37" i="4" s="1"/>
  <c r="J14" i="1" l="1"/>
  <c r="D76" i="4"/>
  <c r="E76" i="4"/>
  <c r="D79" i="4"/>
  <c r="E79" i="4"/>
  <c r="D77" i="4"/>
  <c r="E77" i="4"/>
  <c r="D78" i="4"/>
  <c r="E78" i="4"/>
  <c r="D83" i="4"/>
  <c r="E83" i="4"/>
  <c r="D81" i="4"/>
  <c r="E81" i="4"/>
  <c r="D82" i="4"/>
  <c r="E82" i="4"/>
  <c r="D80" i="4"/>
  <c r="E80" i="4"/>
  <c r="D91" i="4"/>
  <c r="E91" i="4"/>
  <c r="D88" i="4"/>
  <c r="E88" i="4"/>
  <c r="D90" i="4"/>
  <c r="E90" i="4"/>
  <c r="D89" i="4"/>
  <c r="E89" i="4"/>
  <c r="D87" i="4"/>
  <c r="E87" i="4"/>
  <c r="D92" i="4"/>
  <c r="E92" i="4"/>
  <c r="D93" i="4"/>
  <c r="E93" i="4"/>
  <c r="D10" i="4"/>
  <c r="E10" i="4"/>
  <c r="D15" i="4"/>
  <c r="E15" i="4"/>
  <c r="D21" i="4"/>
  <c r="E21" i="4"/>
  <c r="D26" i="4"/>
  <c r="E26" i="4"/>
  <c r="D27" i="4"/>
  <c r="E27" i="4"/>
  <c r="D28" i="4"/>
  <c r="E28" i="4"/>
  <c r="D11" i="4"/>
  <c r="E11" i="4"/>
  <c r="D12" i="4"/>
  <c r="E12" i="4"/>
  <c r="D13" i="4"/>
  <c r="E13" i="4"/>
  <c r="D14" i="4"/>
  <c r="E14" i="4"/>
  <c r="D16" i="4"/>
  <c r="L29" i="4" s="1"/>
  <c r="E16" i="4"/>
  <c r="M29" i="4" s="1"/>
  <c r="D19" i="4"/>
  <c r="E19" i="4"/>
  <c r="D17" i="4"/>
  <c r="E17" i="4"/>
  <c r="D20" i="4"/>
  <c r="E20" i="4"/>
  <c r="D18" i="4"/>
  <c r="E18" i="4"/>
  <c r="D23" i="4"/>
  <c r="E23" i="4"/>
  <c r="D24" i="4"/>
  <c r="E24" i="4"/>
  <c r="D25" i="4"/>
  <c r="E25" i="4"/>
  <c r="D22" i="4"/>
  <c r="E22" i="4"/>
  <c r="D29" i="4"/>
  <c r="E29" i="4"/>
  <c r="D45" i="4"/>
  <c r="E45" i="4"/>
  <c r="D49" i="4"/>
  <c r="E49" i="4"/>
  <c r="D47" i="4"/>
  <c r="E47" i="4"/>
  <c r="D46" i="4"/>
  <c r="E46" i="4"/>
  <c r="D48" i="4"/>
  <c r="E48" i="4"/>
  <c r="D51" i="4"/>
  <c r="E51" i="4"/>
  <c r="D50" i="4"/>
  <c r="E50" i="4"/>
  <c r="D52" i="4"/>
  <c r="E52" i="4"/>
  <c r="D58" i="4"/>
  <c r="E58" i="4"/>
  <c r="D57" i="4"/>
  <c r="E57" i="4"/>
  <c r="D59" i="4"/>
  <c r="E59" i="4"/>
  <c r="D60" i="4"/>
  <c r="E60" i="4"/>
  <c r="D55" i="4"/>
  <c r="E55" i="4"/>
  <c r="D54" i="4"/>
  <c r="E54" i="4"/>
  <c r="D56" i="4"/>
  <c r="E56" i="4"/>
  <c r="D53" i="4"/>
  <c r="E53" i="4"/>
  <c r="D65" i="4"/>
  <c r="E65" i="4"/>
  <c r="D66" i="4"/>
  <c r="E66" i="4"/>
  <c r="D67" i="4"/>
  <c r="E67" i="4"/>
  <c r="D68" i="4"/>
  <c r="E68" i="4"/>
  <c r="D61" i="4"/>
  <c r="E61" i="4"/>
  <c r="D62" i="4"/>
  <c r="E62" i="4"/>
  <c r="D63" i="4"/>
  <c r="E63" i="4"/>
  <c r="D64" i="4"/>
  <c r="E64" i="4"/>
  <c r="D69" i="4"/>
  <c r="E69" i="4"/>
  <c r="D7" i="4"/>
  <c r="E7" i="4"/>
  <c r="D9" i="4"/>
  <c r="E9" i="4"/>
  <c r="D8" i="4"/>
  <c r="E8" i="4"/>
  <c r="D6" i="4"/>
  <c r="E6" i="4"/>
  <c r="D5" i="4"/>
  <c r="E5" i="4"/>
  <c r="D39" i="4"/>
  <c r="E39" i="4"/>
  <c r="G5" i="4"/>
  <c r="H5" i="4"/>
  <c r="D41" i="4"/>
  <c r="E41" i="4"/>
  <c r="G7" i="4"/>
  <c r="H7" i="4"/>
  <c r="G9" i="4"/>
  <c r="H9" i="4"/>
  <c r="G10" i="4"/>
  <c r="H10" i="4"/>
  <c r="D3" i="4"/>
  <c r="E3" i="4"/>
  <c r="D4" i="4"/>
  <c r="E4" i="4"/>
  <c r="D30" i="4"/>
  <c r="E30" i="4"/>
  <c r="D34" i="4"/>
  <c r="L31" i="4" s="1"/>
  <c r="E34" i="4"/>
  <c r="M31" i="4" s="1"/>
  <c r="D35" i="4"/>
  <c r="L32" i="4" s="1"/>
  <c r="E35" i="4"/>
  <c r="M32" i="4" s="1"/>
  <c r="D33" i="4"/>
  <c r="E33" i="4"/>
  <c r="D32" i="4"/>
  <c r="E32" i="4"/>
  <c r="D37" i="4"/>
  <c r="E37" i="4"/>
  <c r="D36" i="4"/>
  <c r="E36" i="4"/>
  <c r="D38" i="4"/>
  <c r="E38" i="4"/>
  <c r="D31" i="4"/>
  <c r="E31" i="4"/>
  <c r="D84" i="4"/>
  <c r="E84" i="4"/>
  <c r="D85" i="4"/>
  <c r="E85" i="4"/>
  <c r="D86" i="4"/>
  <c r="E86" i="4"/>
  <c r="J695" i="1" l="1"/>
  <c r="N695" i="1" l="1"/>
  <c r="N14" i="1"/>
  <c r="A621" i="1" l="1"/>
  <c r="A623" i="1"/>
  <c r="A626" i="1"/>
  <c r="A627" i="1"/>
  <c r="A629" i="1"/>
  <c r="A632" i="1"/>
  <c r="A633" i="1"/>
  <c r="A635" i="1"/>
  <c r="A638" i="1"/>
  <c r="A639" i="1"/>
  <c r="A641" i="1"/>
  <c r="A644" i="1"/>
  <c r="A645" i="1"/>
  <c r="A647" i="1"/>
  <c r="A650" i="1"/>
  <c r="A651" i="1"/>
  <c r="A653" i="1"/>
  <c r="A656" i="1"/>
  <c r="A657" i="1"/>
  <c r="A659" i="1"/>
  <c r="A662" i="1"/>
  <c r="A663" i="1"/>
  <c r="A665" i="1"/>
  <c r="A668" i="1"/>
  <c r="A669" i="1"/>
  <c r="A671" i="1"/>
  <c r="A674" i="1"/>
  <c r="A675" i="1"/>
  <c r="A677" i="1"/>
  <c r="A680" i="1"/>
  <c r="A681" i="1"/>
  <c r="A683" i="1"/>
  <c r="A686" i="1"/>
  <c r="A687" i="1"/>
  <c r="A689" i="1"/>
  <c r="A692" i="1"/>
  <c r="A693" i="1"/>
  <c r="A117" i="1"/>
  <c r="A120" i="1"/>
  <c r="A121" i="1"/>
  <c r="A122" i="1"/>
  <c r="A123" i="1"/>
  <c r="A126" i="1"/>
  <c r="A127" i="1"/>
  <c r="A128" i="1"/>
  <c r="A129" i="1"/>
  <c r="A132" i="1"/>
  <c r="A133" i="1"/>
  <c r="A134" i="1"/>
  <c r="A135" i="1"/>
  <c r="A138" i="1"/>
  <c r="A139" i="1"/>
  <c r="A140" i="1"/>
  <c r="A141" i="1"/>
  <c r="A145" i="1"/>
  <c r="A146" i="1"/>
  <c r="A147" i="1"/>
  <c r="A150" i="1"/>
  <c r="A152" i="1"/>
  <c r="A153" i="1"/>
  <c r="A156" i="1"/>
  <c r="A157" i="1"/>
  <c r="A158" i="1"/>
  <c r="A159" i="1"/>
  <c r="A162" i="1"/>
  <c r="A163" i="1"/>
  <c r="A164" i="1"/>
  <c r="A165" i="1"/>
  <c r="A168" i="1"/>
  <c r="A169" i="1"/>
  <c r="A171" i="1"/>
  <c r="A174" i="1"/>
  <c r="A175" i="1"/>
  <c r="A176" i="1"/>
  <c r="A177" i="1"/>
  <c r="A180" i="1"/>
  <c r="A181" i="1"/>
  <c r="A182" i="1"/>
  <c r="A183" i="1"/>
  <c r="A188" i="1"/>
  <c r="A189" i="1"/>
  <c r="A192" i="1"/>
  <c r="A193" i="1"/>
  <c r="A194" i="1"/>
  <c r="A195" i="1"/>
  <c r="A198" i="1"/>
  <c r="A201" i="1"/>
  <c r="A204" i="1"/>
  <c r="A205" i="1"/>
  <c r="A207" i="1"/>
  <c r="A210" i="1"/>
  <c r="A211" i="1"/>
  <c r="A212" i="1"/>
  <c r="A213" i="1"/>
  <c r="A216" i="1"/>
  <c r="A217" i="1"/>
  <c r="A218" i="1"/>
  <c r="A219" i="1"/>
  <c r="A222" i="1"/>
  <c r="A223" i="1"/>
  <c r="A225" i="1"/>
  <c r="A228" i="1"/>
  <c r="A229" i="1"/>
  <c r="A230" i="1"/>
  <c r="A231" i="1"/>
  <c r="A234" i="1"/>
  <c r="A236" i="1"/>
  <c r="A237" i="1"/>
  <c r="A240" i="1"/>
  <c r="A241" i="1"/>
  <c r="A242" i="1"/>
  <c r="A243" i="1"/>
  <c r="A247" i="1"/>
  <c r="A248" i="1"/>
  <c r="A249" i="1"/>
  <c r="A252" i="1"/>
  <c r="A253" i="1"/>
  <c r="A255" i="1"/>
  <c r="A258" i="1"/>
  <c r="A259" i="1"/>
  <c r="A260" i="1"/>
  <c r="A261" i="1"/>
  <c r="A264" i="1"/>
  <c r="A265" i="1"/>
  <c r="A267" i="1"/>
  <c r="A270" i="1"/>
  <c r="A271" i="1"/>
  <c r="A272" i="1"/>
  <c r="A273" i="1"/>
  <c r="A277" i="1"/>
  <c r="A278" i="1"/>
  <c r="A279" i="1"/>
  <c r="A283" i="1"/>
  <c r="A284" i="1"/>
  <c r="A285" i="1"/>
  <c r="A288" i="1"/>
  <c r="A289" i="1"/>
  <c r="A291" i="1"/>
  <c r="A294" i="1"/>
  <c r="A295" i="1"/>
  <c r="A296" i="1"/>
  <c r="A297" i="1"/>
  <c r="A300" i="1"/>
  <c r="A301" i="1"/>
  <c r="A302" i="1"/>
  <c r="A303" i="1"/>
  <c r="A306" i="1"/>
  <c r="A307" i="1"/>
  <c r="A309" i="1"/>
  <c r="A313" i="1"/>
  <c r="A314" i="1"/>
  <c r="A315" i="1"/>
  <c r="A319" i="1"/>
  <c r="A320" i="1"/>
  <c r="A321" i="1"/>
  <c r="A324" i="1"/>
  <c r="A325" i="1"/>
  <c r="A326" i="1"/>
  <c r="A327" i="1"/>
  <c r="A331" i="1"/>
  <c r="A332" i="1"/>
  <c r="A333" i="1"/>
  <c r="A336" i="1"/>
  <c r="A337" i="1"/>
  <c r="A338" i="1"/>
  <c r="A339" i="1"/>
  <c r="A342" i="1"/>
  <c r="A343" i="1"/>
  <c r="A344" i="1"/>
  <c r="A345" i="1"/>
  <c r="A349" i="1"/>
  <c r="A350" i="1"/>
  <c r="A351" i="1"/>
  <c r="A356" i="1"/>
  <c r="A357" i="1"/>
  <c r="A360" i="1"/>
  <c r="A361" i="1"/>
  <c r="A362" i="1"/>
  <c r="A363" i="1"/>
  <c r="A367" i="1"/>
  <c r="A368" i="1"/>
  <c r="A369" i="1"/>
  <c r="A372" i="1"/>
  <c r="A373" i="1"/>
  <c r="A375" i="1"/>
  <c r="A378" i="1"/>
  <c r="A379" i="1"/>
  <c r="A380" i="1"/>
  <c r="A381" i="1"/>
  <c r="A385" i="1"/>
  <c r="A387" i="1"/>
  <c r="A392" i="1"/>
  <c r="A393" i="1"/>
  <c r="A396" i="1"/>
  <c r="A397" i="1"/>
  <c r="A398" i="1"/>
  <c r="A399" i="1"/>
  <c r="A403" i="1"/>
  <c r="A404" i="1"/>
  <c r="A405" i="1"/>
  <c r="A408" i="1"/>
  <c r="A409" i="1"/>
  <c r="A410" i="1"/>
  <c r="A411" i="1"/>
  <c r="A414" i="1"/>
  <c r="A415" i="1"/>
  <c r="A416" i="1"/>
  <c r="A417" i="1"/>
  <c r="A420" i="1"/>
  <c r="A421" i="1"/>
  <c r="A422" i="1"/>
  <c r="A423" i="1"/>
  <c r="A428" i="1"/>
  <c r="A429" i="1"/>
  <c r="A432" i="1"/>
  <c r="A433" i="1"/>
  <c r="A434" i="1"/>
  <c r="A435" i="1"/>
  <c r="A439" i="1"/>
  <c r="A441" i="1"/>
  <c r="A444" i="1"/>
  <c r="A445" i="1"/>
  <c r="A446" i="1"/>
  <c r="A447" i="1"/>
  <c r="A450" i="1"/>
  <c r="A451" i="1"/>
  <c r="A452" i="1"/>
  <c r="A453" i="1"/>
  <c r="A456" i="1"/>
  <c r="A458" i="1"/>
  <c r="A459" i="1"/>
  <c r="A462" i="1"/>
  <c r="A463" i="1"/>
  <c r="A464" i="1"/>
  <c r="A465" i="1"/>
  <c r="A468" i="1"/>
  <c r="A469" i="1"/>
  <c r="A470" i="1"/>
  <c r="A471" i="1"/>
  <c r="A476" i="1"/>
  <c r="A477" i="1"/>
  <c r="A480" i="1"/>
  <c r="A481" i="1"/>
  <c r="A482" i="1"/>
  <c r="A483" i="1"/>
  <c r="A486" i="1"/>
  <c r="A487" i="1"/>
  <c r="A488" i="1"/>
  <c r="A489" i="1"/>
  <c r="A492" i="1"/>
  <c r="A493" i="1"/>
  <c r="A494" i="1"/>
  <c r="A495" i="1"/>
  <c r="A499" i="1"/>
  <c r="A500" i="1"/>
  <c r="A501" i="1"/>
  <c r="A504" i="1"/>
  <c r="A507" i="1"/>
  <c r="A510" i="1"/>
  <c r="A511" i="1"/>
  <c r="A512" i="1"/>
  <c r="A513" i="1"/>
  <c r="A516" i="1"/>
  <c r="A517" i="1"/>
  <c r="A518" i="1"/>
  <c r="A519" i="1"/>
  <c r="A522" i="1"/>
  <c r="A523" i="1"/>
  <c r="A524" i="1"/>
  <c r="A525" i="1"/>
  <c r="A528" i="1"/>
  <c r="A529" i="1"/>
  <c r="A531" i="1"/>
  <c r="A534" i="1"/>
  <c r="A535" i="1"/>
  <c r="A536" i="1"/>
  <c r="A537" i="1"/>
  <c r="A540" i="1"/>
  <c r="A542" i="1"/>
  <c r="A543" i="1"/>
  <c r="A546" i="1"/>
  <c r="A547" i="1"/>
  <c r="A548" i="1"/>
  <c r="A549" i="1"/>
  <c r="A552" i="1"/>
  <c r="A553" i="1"/>
  <c r="A554" i="1"/>
  <c r="A555" i="1"/>
  <c r="A558" i="1"/>
  <c r="A559" i="1"/>
  <c r="A560" i="1"/>
  <c r="A561" i="1"/>
  <c r="A565" i="1"/>
  <c r="A566" i="1"/>
  <c r="A567" i="1"/>
  <c r="A571" i="1"/>
  <c r="A572" i="1"/>
  <c r="A573" i="1"/>
  <c r="A576" i="1"/>
  <c r="A577" i="1"/>
  <c r="A578" i="1"/>
  <c r="A579" i="1"/>
  <c r="A583" i="1"/>
  <c r="A584" i="1"/>
  <c r="A585" i="1"/>
  <c r="A588" i="1"/>
  <c r="A589" i="1"/>
  <c r="A591" i="1"/>
  <c r="A594" i="1"/>
  <c r="A595" i="1"/>
  <c r="A596" i="1"/>
  <c r="A597" i="1"/>
  <c r="A598" i="1"/>
  <c r="A600" i="1"/>
  <c r="A601" i="1"/>
  <c r="A602" i="1"/>
  <c r="A603" i="1"/>
  <c r="A605" i="1"/>
  <c r="A606" i="1"/>
  <c r="A607" i="1"/>
  <c r="A608" i="1"/>
  <c r="A609" i="1"/>
  <c r="A612" i="1"/>
  <c r="A613" i="1"/>
  <c r="A614" i="1"/>
  <c r="A615" i="1"/>
  <c r="A616" i="1"/>
  <c r="A617" i="1"/>
  <c r="A618" i="1"/>
  <c r="A619" i="1"/>
  <c r="A620" i="1"/>
  <c r="A672" i="1"/>
  <c r="A673" i="1"/>
  <c r="A676" i="1"/>
  <c r="A678" i="1"/>
  <c r="A679" i="1"/>
  <c r="A682" i="1"/>
  <c r="A684" i="1"/>
  <c r="A685" i="1"/>
  <c r="A688" i="1"/>
  <c r="A690" i="1"/>
  <c r="A691" i="1"/>
  <c r="A694" i="1"/>
  <c r="A590" i="1"/>
  <c r="A592" i="1"/>
  <c r="A593" i="1"/>
  <c r="A599" i="1"/>
  <c r="A604" i="1"/>
  <c r="A610" i="1"/>
  <c r="A611" i="1"/>
  <c r="A622" i="1"/>
  <c r="A624" i="1"/>
  <c r="A625" i="1"/>
  <c r="A628" i="1"/>
  <c r="A630" i="1"/>
  <c r="A631" i="1"/>
  <c r="A634" i="1"/>
  <c r="A636" i="1"/>
  <c r="A637" i="1"/>
  <c r="A640" i="1"/>
  <c r="A642" i="1"/>
  <c r="A643" i="1"/>
  <c r="A646" i="1"/>
  <c r="A648" i="1"/>
  <c r="A649" i="1"/>
  <c r="A652" i="1"/>
  <c r="A654" i="1"/>
  <c r="A655" i="1"/>
  <c r="A658" i="1"/>
  <c r="A660" i="1"/>
  <c r="A661" i="1"/>
  <c r="A664" i="1"/>
  <c r="A666" i="1"/>
  <c r="A667" i="1"/>
  <c r="A670" i="1"/>
  <c r="A118" i="1"/>
  <c r="A119" i="1"/>
  <c r="A124" i="1"/>
  <c r="A125" i="1"/>
  <c r="A130" i="1"/>
  <c r="A131" i="1"/>
  <c r="A136" i="1"/>
  <c r="A137" i="1"/>
  <c r="A142" i="1"/>
  <c r="A143" i="1"/>
  <c r="A144" i="1"/>
  <c r="A148" i="1"/>
  <c r="A149" i="1"/>
  <c r="A151" i="1"/>
  <c r="A154" i="1"/>
  <c r="A155" i="1"/>
  <c r="A160" i="1"/>
  <c r="A161" i="1"/>
  <c r="A166" i="1"/>
  <c r="A167" i="1"/>
  <c r="A170" i="1"/>
  <c r="A172" i="1"/>
  <c r="A173" i="1"/>
  <c r="A178" i="1"/>
  <c r="A179" i="1"/>
  <c r="A184" i="1"/>
  <c r="A185" i="1"/>
  <c r="A186" i="1"/>
  <c r="A187" i="1"/>
  <c r="A190" i="1"/>
  <c r="A191" i="1"/>
  <c r="A196" i="1"/>
  <c r="A197" i="1"/>
  <c r="A199" i="1"/>
  <c r="A200" i="1"/>
  <c r="A202" i="1"/>
  <c r="A203" i="1"/>
  <c r="A206" i="1"/>
  <c r="A208" i="1"/>
  <c r="A209" i="1"/>
  <c r="A214" i="1"/>
  <c r="A215" i="1"/>
  <c r="A220" i="1"/>
  <c r="A221" i="1"/>
  <c r="A224" i="1"/>
  <c r="A226" i="1"/>
  <c r="A227" i="1"/>
  <c r="A232" i="1"/>
  <c r="A233" i="1"/>
  <c r="A235" i="1"/>
  <c r="A238" i="1"/>
  <c r="A239" i="1"/>
  <c r="A244" i="1"/>
  <c r="A245" i="1"/>
  <c r="A246" i="1"/>
  <c r="A250" i="1"/>
  <c r="A251" i="1"/>
  <c r="A254" i="1"/>
  <c r="A256" i="1"/>
  <c r="A257" i="1"/>
  <c r="A262" i="1"/>
  <c r="A263" i="1"/>
  <c r="A266" i="1"/>
  <c r="A268" i="1"/>
  <c r="A269" i="1"/>
  <c r="A274" i="1"/>
  <c r="A275" i="1"/>
  <c r="A276" i="1"/>
  <c r="A280" i="1"/>
  <c r="A281" i="1"/>
  <c r="A282" i="1"/>
  <c r="A286" i="1"/>
  <c r="A287" i="1"/>
  <c r="A290" i="1"/>
  <c r="A292" i="1"/>
  <c r="A293" i="1"/>
  <c r="A298" i="1"/>
  <c r="A299" i="1"/>
  <c r="A304" i="1"/>
  <c r="A305" i="1"/>
  <c r="A308" i="1"/>
  <c r="A310" i="1"/>
  <c r="A311" i="1"/>
  <c r="A312" i="1"/>
  <c r="A316" i="1"/>
  <c r="A317" i="1"/>
  <c r="A318" i="1"/>
  <c r="A322" i="1"/>
  <c r="A323" i="1"/>
  <c r="A328" i="1"/>
  <c r="A329" i="1"/>
  <c r="A330" i="1"/>
  <c r="A334" i="1"/>
  <c r="A335" i="1"/>
  <c r="A340" i="1"/>
  <c r="A341" i="1"/>
  <c r="A346" i="1"/>
  <c r="A347" i="1"/>
  <c r="A348" i="1"/>
  <c r="A352" i="1"/>
  <c r="A353" i="1"/>
  <c r="A354" i="1"/>
  <c r="A355" i="1"/>
  <c r="A358" i="1"/>
  <c r="A359" i="1"/>
  <c r="A364" i="1"/>
  <c r="A365" i="1"/>
  <c r="A366" i="1"/>
  <c r="A370" i="1"/>
  <c r="A371" i="1"/>
  <c r="A374" i="1"/>
  <c r="A376" i="1"/>
  <c r="A377" i="1"/>
  <c r="A382" i="1"/>
  <c r="A383" i="1"/>
  <c r="A384" i="1"/>
  <c r="A386" i="1"/>
  <c r="A388" i="1"/>
  <c r="A389" i="1"/>
  <c r="A390" i="1"/>
  <c r="A391" i="1"/>
  <c r="A394" i="1"/>
  <c r="A395" i="1"/>
  <c r="A400" i="1"/>
  <c r="A401" i="1"/>
  <c r="A402" i="1"/>
  <c r="A406" i="1"/>
  <c r="A407" i="1"/>
  <c r="A412" i="1"/>
  <c r="A413" i="1"/>
  <c r="A418" i="1"/>
  <c r="A419" i="1"/>
  <c r="A424" i="1"/>
  <c r="A425" i="1"/>
  <c r="A426" i="1"/>
  <c r="A427" i="1"/>
  <c r="A430" i="1"/>
  <c r="A431" i="1"/>
  <c r="A436" i="1"/>
  <c r="A437" i="1"/>
  <c r="A438" i="1"/>
  <c r="A440" i="1"/>
  <c r="A442" i="1"/>
  <c r="A443" i="1"/>
  <c r="A448" i="1"/>
  <c r="A449" i="1"/>
  <c r="A454" i="1"/>
  <c r="A455" i="1"/>
  <c r="A457" i="1"/>
  <c r="A460" i="1"/>
  <c r="A461" i="1"/>
  <c r="A466" i="1"/>
  <c r="A467" i="1"/>
  <c r="A472" i="1"/>
  <c r="A473" i="1"/>
  <c r="A474" i="1"/>
  <c r="A475" i="1"/>
  <c r="A478" i="1"/>
  <c r="A479" i="1"/>
  <c r="A484" i="1"/>
  <c r="A485" i="1"/>
  <c r="A490" i="1"/>
  <c r="A491" i="1"/>
  <c r="A496" i="1"/>
  <c r="A497" i="1"/>
  <c r="A498" i="1"/>
  <c r="A502" i="1"/>
  <c r="A503" i="1"/>
  <c r="A505" i="1"/>
  <c r="A506" i="1"/>
  <c r="A508" i="1"/>
  <c r="A509" i="1"/>
  <c r="A514" i="1"/>
  <c r="A515" i="1"/>
  <c r="A520" i="1"/>
  <c r="A521" i="1"/>
  <c r="A526" i="1"/>
  <c r="A527" i="1"/>
  <c r="A530" i="1"/>
  <c r="A532" i="1"/>
  <c r="A533" i="1"/>
  <c r="A538" i="1"/>
  <c r="A539" i="1"/>
  <c r="A541" i="1"/>
  <c r="A544" i="1"/>
  <c r="A545" i="1"/>
  <c r="A550" i="1"/>
  <c r="A551" i="1"/>
  <c r="A556" i="1"/>
  <c r="A557" i="1"/>
  <c r="A562" i="1"/>
  <c r="A563" i="1"/>
  <c r="A564" i="1"/>
  <c r="A568" i="1"/>
  <c r="A569" i="1"/>
  <c r="A570" i="1"/>
  <c r="A574" i="1"/>
  <c r="A575" i="1"/>
  <c r="A580" i="1"/>
  <c r="A581" i="1"/>
  <c r="A582" i="1"/>
  <c r="A586" i="1"/>
  <c r="A587" i="1"/>
  <c r="L14" i="1" l="1"/>
  <c r="L695" i="1"/>
  <c r="A697" i="1" l="1"/>
  <c r="A696" i="1"/>
  <c r="A695" i="1"/>
  <c r="S7" i="1"/>
  <c r="J7" i="1"/>
</calcChain>
</file>

<file path=xl/sharedStrings.xml><?xml version="1.0" encoding="utf-8"?>
<sst xmlns="http://schemas.openxmlformats.org/spreadsheetml/2006/main" count="722" uniqueCount="209">
  <si>
    <t>BIÊN BẢN NGHIỆM THU VÀ BÀN GIAO SẢN PHẨM
PROTOCOL OF PRODUCT ACCEPTANCE AND HANDOVER</t>
  </si>
  <si>
    <t>Ngày Bàn Giao:</t>
  </si>
  <si>
    <t>Tên - Mã số/
 Name - Code</t>
  </si>
  <si>
    <t>Quy Cách/
Specification</t>
  </si>
  <si>
    <t xml:space="preserve"> Chiều dài/
Length</t>
  </si>
  <si>
    <t>ĐVT/ Unit</t>
  </si>
  <si>
    <t xml:space="preserve">Số lượng/
Quantity
</t>
  </si>
  <si>
    <t>Khối Lượng/
Weight
[Kg]</t>
  </si>
  <si>
    <t>T.Khối lượng/
Total Weight
[Kg]</t>
  </si>
  <si>
    <t>Ghi Chú/
Remark</t>
  </si>
  <si>
    <t>A</t>
  </si>
  <si>
    <t>TOTAL</t>
  </si>
  <si>
    <t>QC DEPARTMENT</t>
  </si>
  <si>
    <t>STORE DEPARTMENT</t>
  </si>
  <si>
    <t xml:space="preserve">(Xác nhận đạt chất lượng
Confirmation of Satisfied Quality)                                                                                                                                                                                                     </t>
  </si>
  <si>
    <t>PRODUCTION SUPERVISOR</t>
  </si>
  <si>
    <t xml:space="preserve">(Đại diện bên nhận và xuất kho
Representative of Inventory Receiving and Delivery)
</t>
  </si>
  <si>
    <r>
      <t xml:space="preserve"> </t>
    </r>
    <r>
      <rPr>
        <i/>
        <u/>
        <sz val="16"/>
        <rFont val="Times New Roman"/>
        <family val="1"/>
      </rPr>
      <t>Địa điểm gia công/Production Location:</t>
    </r>
    <r>
      <rPr>
        <sz val="16"/>
        <rFont val="Times New Roman"/>
        <family val="1"/>
      </rPr>
      <t>AN HẠ - AH4</t>
    </r>
  </si>
  <si>
    <t>STT</t>
  </si>
  <si>
    <t>Diện Tích/ paint Area [M2]</t>
  </si>
  <si>
    <t>T.Diện Tích/
Total Area
[M2]</t>
  </si>
  <si>
    <t xml:space="preserve">(Đại diện bên giao 
Handover Representative)
</t>
  </si>
  <si>
    <t>□ CK hoàn thiện/ Finished CK</t>
  </si>
  <si>
    <t xml:space="preserve">□ CK chưa hoàn thiện/Unfinished CK   </t>
  </si>
  <si>
    <t>□ Chi tiết/phôi/ Detail/workpiece</t>
  </si>
  <si>
    <t>Rev</t>
  </si>
  <si>
    <t>Barcode</t>
  </si>
  <si>
    <r>
      <t>Ngày ban hành: 12</t>
    </r>
    <r>
      <rPr>
        <b/>
        <sz val="14"/>
        <rFont val="Times New Roman"/>
        <family val="1"/>
      </rPr>
      <t>/9/2025</t>
    </r>
    <r>
      <rPr>
        <sz val="14"/>
        <rFont val="Times New Roman"/>
        <family val="1"/>
      </rPr>
      <t xml:space="preserve">
[ Xưởng sản xuất]</t>
    </r>
  </si>
  <si>
    <t>FBB7003</t>
  </si>
  <si>
    <t>FBB7004</t>
  </si>
  <si>
    <t>FBB7010</t>
  </si>
  <si>
    <t xml:space="preserve">  </t>
  </si>
  <si>
    <t>Rev.0</t>
  </si>
  <si>
    <t>F</t>
  </si>
  <si>
    <t>PCS</t>
  </si>
  <si>
    <t>Rev.1</t>
  </si>
  <si>
    <t>2512101001A000220</t>
  </si>
  <si>
    <t>Dim,Visual</t>
  </si>
  <si>
    <t>TE BEAM CLAMP</t>
  </si>
  <si>
    <t>PL10X50</t>
  </si>
  <si>
    <t>2512101007A000015</t>
  </si>
  <si>
    <t>2512101007A000038</t>
  </si>
  <si>
    <t>2512101007A000019</t>
  </si>
  <si>
    <t>2512101007A000045</t>
  </si>
  <si>
    <t>2512101007A000044</t>
  </si>
  <si>
    <t>2512101007A000041</t>
  </si>
  <si>
    <t>2512101007A000047</t>
  </si>
  <si>
    <t>2512101007A000043</t>
  </si>
  <si>
    <t>2512101007A000051</t>
  </si>
  <si>
    <t>2512101007A000048</t>
  </si>
  <si>
    <t>2512101007A000055</t>
  </si>
  <si>
    <t>2512101007A000013</t>
  </si>
  <si>
    <t>2512101007A000035</t>
  </si>
  <si>
    <t>2512101007A000042</t>
  </si>
  <si>
    <t>2512101007A000065</t>
  </si>
  <si>
    <t>2512101007A000058</t>
  </si>
  <si>
    <t>2512101007A000032</t>
  </si>
  <si>
    <t>2512101007A000033</t>
  </si>
  <si>
    <t>2512101007A000037</t>
  </si>
  <si>
    <t>Dim</t>
  </si>
  <si>
    <t>BUNDLE TRUSS GIRDER</t>
  </si>
  <si>
    <t>H200*200*8*12</t>
  </si>
  <si>
    <t>FAN DECK BEAM</t>
  </si>
  <si>
    <t>Dim,Visual,NDT</t>
  </si>
  <si>
    <t>PL12X356</t>
  </si>
  <si>
    <t>B-F</t>
  </si>
  <si>
    <t>C250X100X12 (BEND)</t>
  </si>
  <si>
    <t>H200*100*5.5*8</t>
  </si>
  <si>
    <t>Rev.2</t>
  </si>
  <si>
    <t>2512101001A030867</t>
  </si>
  <si>
    <t>2512101001A040614</t>
  </si>
  <si>
    <t>2512101001A040352</t>
  </si>
  <si>
    <t>2512101001A040184</t>
  </si>
  <si>
    <t>2512101001A032614</t>
  </si>
  <si>
    <t>2512101001A041918</t>
  </si>
  <si>
    <t>2512101001A033838</t>
  </si>
  <si>
    <t>2512101001A033551</t>
  </si>
  <si>
    <t>2512101001A031658</t>
  </si>
  <si>
    <t>2512101001A041501</t>
  </si>
  <si>
    <t>2512101001A034453</t>
  </si>
  <si>
    <t>2512101001A031785</t>
  </si>
  <si>
    <t>2512101001A036105</t>
  </si>
  <si>
    <t>2512101001A039061</t>
  </si>
  <si>
    <t>2512101001A033657</t>
  </si>
  <si>
    <t>2512101001A038865</t>
  </si>
  <si>
    <t>2512101001A032334</t>
  </si>
  <si>
    <t>2512101001A039678</t>
  </si>
  <si>
    <t>2512101001A012372</t>
  </si>
  <si>
    <t>2512101001A012360</t>
  </si>
  <si>
    <t>2512101001A033034</t>
  </si>
  <si>
    <t>2512101001A041724</t>
  </si>
  <si>
    <t>2512101001A031235</t>
  </si>
  <si>
    <t>2512101001A036839</t>
  </si>
  <si>
    <t>2512101001A031331</t>
  </si>
  <si>
    <t>2512101001A038690</t>
  </si>
  <si>
    <t>2512101001A038374</t>
  </si>
  <si>
    <t>2512101001A038280</t>
  </si>
  <si>
    <t>2512101001A033296</t>
  </si>
  <si>
    <t>STAIR GIRDER</t>
  </si>
  <si>
    <t>H-200X200X8X12</t>
  </si>
  <si>
    <t>C250X90X12 (BEND)</t>
  </si>
  <si>
    <t>2512101002A000431</t>
  </si>
  <si>
    <t>2512101002A000467</t>
  </si>
  <si>
    <t>Rev tên</t>
  </si>
  <si>
    <t>PL6X125</t>
  </si>
  <si>
    <t>2512101007A000049</t>
  </si>
  <si>
    <t>2512101007A000046</t>
  </si>
  <si>
    <t>2512101007A000057</t>
  </si>
  <si>
    <t>2512101007A000012</t>
  </si>
  <si>
    <t>2512101007A000017</t>
  </si>
  <si>
    <t>2512101007A000010</t>
  </si>
  <si>
    <t>CÔNG TRÌNH/ PROJECT : 10725-009 DGRP VIOLA - STRUCTURAL STEEL</t>
  </si>
  <si>
    <t>PLENUM EDGE BEAM</t>
  </si>
  <si>
    <t>[250*90*9*13</t>
  </si>
  <si>
    <t>1-01ERC3001-001</t>
  </si>
  <si>
    <t>1-01ERC3001-004</t>
  </si>
  <si>
    <t>1-01ERC3001-003</t>
  </si>
  <si>
    <t>1-01ERC3001-002</t>
  </si>
  <si>
    <t>1-01ERC3002-002</t>
  </si>
  <si>
    <t>1-01ERC3002-001</t>
  </si>
  <si>
    <t>1-01ERC3012-008</t>
  </si>
  <si>
    <t>1-01ERC3012-001</t>
  </si>
  <si>
    <t>1-01ERC3012-012</t>
  </si>
  <si>
    <t>1-01ERC3012-002</t>
  </si>
  <si>
    <t>1-01ERC3012-004</t>
  </si>
  <si>
    <t>1-01ERC3012-010</t>
  </si>
  <si>
    <t>1-01ERC3012-009</t>
  </si>
  <si>
    <t>1-01ERC3012-007</t>
  </si>
  <si>
    <t>1-01ERC3012-003</t>
  </si>
  <si>
    <t>1-01ERC3012-006</t>
  </si>
  <si>
    <t>1-01ERC3012-011</t>
  </si>
  <si>
    <t>1-01ERC3012-005</t>
  </si>
  <si>
    <t>1-01ERC3003-002</t>
  </si>
  <si>
    <t>1-01ERC3003-001</t>
  </si>
  <si>
    <t>1-01ERC3003-004</t>
  </si>
  <si>
    <t>1-01ERC3003-003</t>
  </si>
  <si>
    <t>1-01ERC3004-002</t>
  </si>
  <si>
    <t>1-01ERC3004-001</t>
  </si>
  <si>
    <t>1-01ERC3005-003</t>
  </si>
  <si>
    <t>1-01ERC3005-002</t>
  </si>
  <si>
    <t>1-01ERC3005-001</t>
  </si>
  <si>
    <t>1-01ERC3005-004</t>
  </si>
  <si>
    <t>1-01ERC3006-001</t>
  </si>
  <si>
    <t>1-01ERC3006-002</t>
  </si>
  <si>
    <t>1-01ERC3007-003</t>
  </si>
  <si>
    <t>1-01ERC3007-002</t>
  </si>
  <si>
    <t>1-01ERC3007-001</t>
  </si>
  <si>
    <t>1-01ERC3007-004</t>
  </si>
  <si>
    <t>1-01ERC3008-001</t>
  </si>
  <si>
    <t>1-01ERC3008-002</t>
  </si>
  <si>
    <t>1-01ERC3009-003</t>
  </si>
  <si>
    <t>1-01ERC3009-002</t>
  </si>
  <si>
    <t>1-01ERC3009-001</t>
  </si>
  <si>
    <t>1-01ERC3009-004</t>
  </si>
  <si>
    <t>1-01ERC3010-001</t>
  </si>
  <si>
    <t>1-01ERC3010-002</t>
  </si>
  <si>
    <t>1-01PEB3014-001</t>
  </si>
  <si>
    <t>2-03USG3003-001</t>
  </si>
  <si>
    <t>4-02USG3008-001</t>
  </si>
  <si>
    <t>4-06USG3006-001</t>
  </si>
  <si>
    <t>ERECTION RIG COLUMN</t>
  </si>
  <si>
    <t>ERECTION COLUMN</t>
  </si>
  <si>
    <t>UNDER GIRDER</t>
  </si>
  <si>
    <t>HSS355.5X9.53</t>
  </si>
  <si>
    <t>2602801007A000081</t>
  </si>
  <si>
    <t>2602801007A000080</t>
  </si>
  <si>
    <t>2602801007A000046</t>
  </si>
  <si>
    <t>2602801007A000043</t>
  </si>
  <si>
    <t>2602801007A000047</t>
  </si>
  <si>
    <t>2602801007A000044</t>
  </si>
  <si>
    <t>2602801007A000104</t>
  </si>
  <si>
    <t>2602801007A000109</t>
  </si>
  <si>
    <t>2602801007A000105</t>
  </si>
  <si>
    <t>2602801007A000110</t>
  </si>
  <si>
    <t>2602801007A000002</t>
  </si>
  <si>
    <t>2602801007A000108</t>
  </si>
  <si>
    <t>2602801007A000103</t>
  </si>
  <si>
    <t>2602801007A000106</t>
  </si>
  <si>
    <t>2602801007A000113</t>
  </si>
  <si>
    <t>2602801007A000112</t>
  </si>
  <si>
    <t>2602801007A000107</t>
  </si>
  <si>
    <t>2602801007A000111</t>
  </si>
  <si>
    <t>2602801007A000083</t>
  </si>
  <si>
    <t>2602801007A000082</t>
  </si>
  <si>
    <t>2602801007A000032</t>
  </si>
  <si>
    <t>2602801007A000029</t>
  </si>
  <si>
    <t>2602801007A000033</t>
  </si>
  <si>
    <t>2602801007A000030</t>
  </si>
  <si>
    <t>2602801007A000085</t>
  </si>
  <si>
    <t>2602801007A000084</t>
  </si>
  <si>
    <t>2602801007A000018</t>
  </si>
  <si>
    <t>2602801007A000015</t>
  </si>
  <si>
    <t>2602801007A000019</t>
  </si>
  <si>
    <t>2602801007A000016</t>
  </si>
  <si>
    <t>2602801007A000090</t>
  </si>
  <si>
    <t>2602801007A000088</t>
  </si>
  <si>
    <t>2602801007A000086</t>
  </si>
  <si>
    <t>2602801007A000004</t>
  </si>
  <si>
    <t>2602801007A000092</t>
  </si>
  <si>
    <t>2602801007A000005</t>
  </si>
  <si>
    <t>2602801007A000091</t>
  </si>
  <si>
    <t>2602801007A000089</t>
  </si>
  <si>
    <t>2602801007A000087</t>
  </si>
  <si>
    <t>2602801007A000066</t>
  </si>
  <si>
    <t>2602801007A000093</t>
  </si>
  <si>
    <t>2602801007A000067</t>
  </si>
  <si>
    <t>2602801001A002715</t>
  </si>
  <si>
    <t>2602801001A008429</t>
  </si>
  <si>
    <t xml:space="preserve">HẠNG MỤC : MAIN STRUCTURE + ERECTION RIG BEAM DETAIL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</si>
</sst>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.0\ _₫_-;\-* #,##0.0\ _₫_-;_-* &quot;-&quot;??\ _₫_-;_-@_-"/>
  </numFmts>
  <fonts count="33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4"/>
      <name val="Times New Roman"/>
      <family val="1"/>
    </font>
    <font>
      <sz val="11"/>
      <name val="돋움"/>
      <family val="3"/>
      <charset val="129"/>
    </font>
    <font>
      <sz val="12"/>
      <color theme="1"/>
      <name val="Times New Roman"/>
      <family val="2"/>
      <charset val="163"/>
    </font>
    <font>
      <sz val="16"/>
      <name val="Times New Roman"/>
      <family val="1"/>
    </font>
    <font>
      <i/>
      <u/>
      <sz val="16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Bookman Old"/>
      <family val="2"/>
    </font>
    <font>
      <b/>
      <sz val="16"/>
      <color theme="0"/>
      <name val="Times New Roman"/>
      <family val="1"/>
    </font>
    <font>
      <sz val="16"/>
      <color theme="0"/>
      <name val="Times New Roman"/>
      <family val="1"/>
    </font>
    <font>
      <sz val="8"/>
      <name val="Calibri"/>
      <family val="2"/>
      <charset val="163"/>
      <scheme val="minor"/>
    </font>
    <font>
      <sz val="16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66">
    <xf numFmtId="0" fontId="0" fillId="0" borderId="0"/>
    <xf numFmtId="164" fontId="6" fillId="0" borderId="0" applyFont="0" applyFill="0" applyBorder="0" applyAlignment="0" applyProtection="0"/>
    <xf numFmtId="0" fontId="3" fillId="0" borderId="0"/>
    <xf numFmtId="0" fontId="8" fillId="0" borderId="0">
      <alignment vertical="center"/>
    </xf>
    <xf numFmtId="164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2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15" applyNumberFormat="0" applyAlignment="0" applyProtection="0"/>
    <xf numFmtId="0" fontId="20" fillId="7" borderId="16" applyNumberFormat="0" applyAlignment="0" applyProtection="0"/>
    <xf numFmtId="0" fontId="21" fillId="7" borderId="15" applyNumberFormat="0" applyAlignment="0" applyProtection="0"/>
    <xf numFmtId="0" fontId="22" fillId="0" borderId="17" applyNumberFormat="0" applyFill="0" applyAlignment="0" applyProtection="0"/>
    <xf numFmtId="0" fontId="23" fillId="8" borderId="18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20" applyNumberFormat="0" applyFill="0" applyAlignment="0" applyProtection="0"/>
    <xf numFmtId="0" fontId="2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8" fillId="0" borderId="0">
      <alignment horizontal="left" vertical="center"/>
    </xf>
    <xf numFmtId="0" fontId="2" fillId="9" borderId="19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9" borderId="19" applyNumberFormat="0" applyFont="0" applyAlignment="0" applyProtection="0"/>
  </cellStyleXfs>
  <cellXfs count="106">
    <xf numFmtId="0" fontId="0" fillId="0" borderId="0" xfId="0"/>
    <xf numFmtId="2" fontId="7" fillId="2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1" fontId="5" fillId="2" borderId="2" xfId="2" applyNumberFormat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3" fontId="5" fillId="2" borderId="2" xfId="1" applyNumberFormat="1" applyFont="1" applyFill="1" applyBorder="1" applyAlignment="1">
      <alignment horizontal="center" vertical="center"/>
    </xf>
    <xf numFmtId="0" fontId="10" fillId="2" borderId="0" xfId="2" applyFont="1" applyFill="1"/>
    <xf numFmtId="164" fontId="5" fillId="2" borderId="5" xfId="4" applyFont="1" applyFill="1" applyBorder="1" applyAlignment="1">
      <alignment vertical="center" wrapText="1"/>
    </xf>
    <xf numFmtId="1" fontId="10" fillId="2" borderId="5" xfId="1" applyNumberFormat="1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/>
    </xf>
    <xf numFmtId="4" fontId="10" fillId="2" borderId="0" xfId="2" applyNumberFormat="1" applyFont="1" applyFill="1" applyAlignment="1">
      <alignment horizontal="center"/>
    </xf>
    <xf numFmtId="4" fontId="5" fillId="2" borderId="2" xfId="1" applyNumberFormat="1" applyFont="1" applyFill="1" applyBorder="1" applyAlignment="1">
      <alignment horizontal="center" vertical="center"/>
    </xf>
    <xf numFmtId="1" fontId="5" fillId="2" borderId="8" xfId="1" applyNumberFormat="1" applyFont="1" applyFill="1" applyBorder="1" applyAlignment="1">
      <alignment horizontal="center" vertical="center"/>
    </xf>
    <xf numFmtId="4" fontId="5" fillId="2" borderId="8" xfId="1" applyNumberFormat="1" applyFont="1" applyFill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/>
    </xf>
    <xf numFmtId="1" fontId="10" fillId="0" borderId="8" xfId="1" applyNumberFormat="1" applyFont="1" applyFill="1" applyBorder="1" applyAlignment="1">
      <alignment horizontal="center" vertical="center"/>
    </xf>
    <xf numFmtId="3" fontId="10" fillId="0" borderId="8" xfId="1" applyNumberFormat="1" applyFont="1" applyFill="1" applyBorder="1" applyAlignment="1">
      <alignment horizontal="center" vertical="center"/>
    </xf>
    <xf numFmtId="4" fontId="10" fillId="0" borderId="8" xfId="1" applyNumberFormat="1" applyFont="1" applyFill="1" applyBorder="1" applyAlignment="1">
      <alignment horizontal="center" vertical="center"/>
    </xf>
    <xf numFmtId="1" fontId="10" fillId="2" borderId="8" xfId="1" applyNumberFormat="1" applyFont="1" applyFill="1" applyBorder="1" applyAlignment="1">
      <alignment horizontal="center" vertical="center"/>
    </xf>
    <xf numFmtId="14" fontId="5" fillId="2" borderId="0" xfId="2" applyNumberFormat="1" applyFont="1" applyFill="1" applyAlignment="1">
      <alignment horizontal="left" vertical="center" wrapText="1"/>
    </xf>
    <xf numFmtId="0" fontId="5" fillId="2" borderId="0" xfId="3" applyFont="1" applyFill="1" applyAlignment="1">
      <alignment horizontal="left" vertical="center"/>
    </xf>
    <xf numFmtId="1" fontId="5" fillId="2" borderId="0" xfId="2" applyNumberFormat="1" applyFont="1" applyFill="1" applyAlignment="1">
      <alignment horizontal="center" vertical="center"/>
    </xf>
    <xf numFmtId="1" fontId="10" fillId="2" borderId="0" xfId="2" applyNumberFormat="1" applyFont="1" applyFill="1" applyAlignment="1">
      <alignment horizontal="center" vertical="center"/>
    </xf>
    <xf numFmtId="1" fontId="10" fillId="2" borderId="0" xfId="2" applyNumberFormat="1" applyFont="1" applyFill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10" fillId="2" borderId="0" xfId="0" applyFont="1" applyFill="1" applyAlignment="1">
      <alignment vertical="top" wrapText="1"/>
    </xf>
    <xf numFmtId="14" fontId="10" fillId="2" borderId="0" xfId="2" applyNumberFormat="1" applyFont="1" applyFill="1" applyAlignment="1">
      <alignment horizontal="center" vertical="top"/>
    </xf>
    <xf numFmtId="4" fontId="5" fillId="2" borderId="5" xfId="1" applyNumberFormat="1" applyFont="1" applyFill="1" applyBorder="1" applyAlignment="1">
      <alignment horizontal="center" vertical="center"/>
    </xf>
    <xf numFmtId="165" fontId="5" fillId="2" borderId="2" xfId="1" applyNumberFormat="1" applyFont="1" applyFill="1" applyBorder="1" applyAlignment="1">
      <alignment horizontal="center" vertical="center"/>
    </xf>
    <xf numFmtId="0" fontId="10" fillId="2" borderId="1" xfId="2" applyFont="1" applyFill="1" applyBorder="1"/>
    <xf numFmtId="0" fontId="10" fillId="2" borderId="1" xfId="2" applyFont="1" applyFill="1" applyBorder="1" applyAlignment="1">
      <alignment horizontal="center"/>
    </xf>
    <xf numFmtId="1" fontId="10" fillId="2" borderId="1" xfId="2" applyNumberFormat="1" applyFont="1" applyFill="1" applyBorder="1" applyAlignment="1">
      <alignment horizontal="center" vertical="center"/>
    </xf>
    <xf numFmtId="1" fontId="10" fillId="2" borderId="1" xfId="2" applyNumberFormat="1" applyFont="1" applyFill="1" applyBorder="1" applyAlignment="1">
      <alignment horizontal="center"/>
    </xf>
    <xf numFmtId="0" fontId="10" fillId="2" borderId="1" xfId="2" applyFont="1" applyFill="1" applyBorder="1" applyAlignment="1">
      <alignment horizontal="center" vertical="center"/>
    </xf>
    <xf numFmtId="2" fontId="10" fillId="2" borderId="1" xfId="2" applyNumberFormat="1" applyFont="1" applyFill="1" applyBorder="1" applyAlignment="1">
      <alignment horizontal="center"/>
    </xf>
    <xf numFmtId="2" fontId="10" fillId="2" borderId="0" xfId="2" applyNumberFormat="1" applyFont="1" applyFill="1" applyAlignment="1">
      <alignment horizontal="center"/>
    </xf>
    <xf numFmtId="0" fontId="10" fillId="2" borderId="0" xfId="2" applyFont="1" applyFill="1" applyAlignment="1">
      <alignment horizontal="center" vertical="center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vertical="center" wrapText="1"/>
    </xf>
    <xf numFmtId="1" fontId="29" fillId="2" borderId="0" xfId="2" applyNumberFormat="1" applyFont="1" applyFill="1" applyAlignment="1">
      <alignment horizontal="center" vertical="center"/>
    </xf>
    <xf numFmtId="164" fontId="30" fillId="2" borderId="0" xfId="1" applyFont="1" applyFill="1" applyAlignment="1">
      <alignment horizontal="center"/>
    </xf>
    <xf numFmtId="2" fontId="5" fillId="2" borderId="0" xfId="2" applyNumberFormat="1" applyFont="1" applyFill="1" applyAlignment="1">
      <alignment horizontal="center" vertical="center"/>
    </xf>
    <xf numFmtId="0" fontId="29" fillId="2" borderId="0" xfId="2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wrapText="1"/>
    </xf>
    <xf numFmtId="14" fontId="10" fillId="2" borderId="0" xfId="0" applyNumberFormat="1" applyFont="1" applyFill="1" applyAlignment="1">
      <alignment horizontal="center" vertical="top" wrapText="1"/>
    </xf>
    <xf numFmtId="1" fontId="5" fillId="2" borderId="0" xfId="2" applyNumberFormat="1" applyFont="1" applyFill="1" applyAlignment="1">
      <alignment horizontal="center"/>
    </xf>
    <xf numFmtId="0" fontId="5" fillId="2" borderId="0" xfId="2" applyFont="1" applyFill="1" applyAlignment="1">
      <alignment horizontal="center"/>
    </xf>
    <xf numFmtId="4" fontId="5" fillId="2" borderId="0" xfId="2" applyNumberFormat="1" applyFont="1" applyFill="1" applyAlignment="1">
      <alignment horizontal="center"/>
    </xf>
    <xf numFmtId="0" fontId="3" fillId="0" borderId="0" xfId="2"/>
    <xf numFmtId="0" fontId="5" fillId="2" borderId="0" xfId="2" applyFont="1" applyFill="1" applyAlignment="1">
      <alignment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0" xfId="3" applyFont="1" applyFill="1" applyAlignment="1">
      <alignment vertical="center" wrapText="1"/>
    </xf>
    <xf numFmtId="0" fontId="10" fillId="2" borderId="9" xfId="0" applyFont="1" applyFill="1" applyBorder="1" applyAlignment="1">
      <alignment horizontal="center" vertical="top" wrapText="1"/>
    </xf>
    <xf numFmtId="0" fontId="10" fillId="2" borderId="10" xfId="0" applyFont="1" applyFill="1" applyBorder="1" applyAlignment="1">
      <alignment horizontal="center" vertical="top" wrapText="1"/>
    </xf>
    <xf numFmtId="0" fontId="10" fillId="2" borderId="11" xfId="0" applyFont="1" applyFill="1" applyBorder="1" applyAlignment="1">
      <alignment horizontal="center" vertical="top" wrapText="1"/>
    </xf>
    <xf numFmtId="1" fontId="0" fillId="0" borderId="0" xfId="0" applyNumberFormat="1"/>
    <xf numFmtId="1" fontId="0" fillId="34" borderId="0" xfId="0" applyNumberFormat="1" applyFill="1"/>
    <xf numFmtId="1" fontId="0" fillId="34" borderId="0" xfId="0" applyNumberFormat="1" applyFill="1" applyAlignment="1">
      <alignment horizontal="center"/>
    </xf>
    <xf numFmtId="4" fontId="10" fillId="2" borderId="8" xfId="1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4" fontId="10" fillId="2" borderId="2" xfId="1" applyNumberFormat="1" applyFont="1" applyFill="1" applyBorder="1" applyAlignment="1">
      <alignment horizontal="center" vertical="center"/>
    </xf>
    <xf numFmtId="4" fontId="10" fillId="35" borderId="8" xfId="1" applyNumberFormat="1" applyFont="1" applyFill="1" applyBorder="1" applyAlignment="1">
      <alignment horizontal="center" vertical="center"/>
    </xf>
    <xf numFmtId="4" fontId="10" fillId="34" borderId="8" xfId="1" applyNumberFormat="1" applyFont="1" applyFill="1" applyBorder="1" applyAlignment="1">
      <alignment horizontal="center" vertical="center"/>
    </xf>
    <xf numFmtId="3" fontId="10" fillId="2" borderId="8" xfId="1" applyNumberFormat="1" applyFont="1" applyFill="1" applyBorder="1" applyAlignment="1">
      <alignment horizontal="center" vertical="center"/>
    </xf>
    <xf numFmtId="4" fontId="32" fillId="36" borderId="8" xfId="1" applyNumberFormat="1" applyFont="1" applyFill="1" applyBorder="1" applyAlignment="1">
      <alignment horizontal="center" vertical="center"/>
    </xf>
    <xf numFmtId="0" fontId="32" fillId="2" borderId="0" xfId="2" applyFont="1" applyFill="1"/>
    <xf numFmtId="0" fontId="32" fillId="2" borderId="8" xfId="2" applyFont="1" applyFill="1" applyBorder="1" applyAlignment="1">
      <alignment horizontal="center" vertical="center"/>
    </xf>
    <xf numFmtId="1" fontId="32" fillId="2" borderId="8" xfId="1" applyNumberFormat="1" applyFont="1" applyFill="1" applyBorder="1" applyAlignment="1">
      <alignment horizontal="center" vertical="center"/>
    </xf>
    <xf numFmtId="3" fontId="32" fillId="2" borderId="8" xfId="1" applyNumberFormat="1" applyFont="1" applyFill="1" applyBorder="1" applyAlignment="1">
      <alignment horizontal="center" vertical="center"/>
    </xf>
    <xf numFmtId="4" fontId="32" fillId="2" borderId="8" xfId="1" applyNumberFormat="1" applyFont="1" applyFill="1" applyBorder="1" applyAlignment="1">
      <alignment horizontal="center" vertical="center"/>
    </xf>
    <xf numFmtId="4" fontId="32" fillId="2" borderId="2" xfId="1" applyNumberFormat="1" applyFont="1" applyFill="1" applyBorder="1" applyAlignment="1">
      <alignment horizontal="center" vertical="center"/>
    </xf>
    <xf numFmtId="0" fontId="32" fillId="2" borderId="0" xfId="2" applyFont="1" applyFill="1" applyAlignment="1">
      <alignment horizontal="center"/>
    </xf>
    <xf numFmtId="4" fontId="32" fillId="2" borderId="0" xfId="2" applyNumberFormat="1" applyFont="1" applyFill="1" applyAlignment="1">
      <alignment horizont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top" wrapText="1"/>
    </xf>
    <xf numFmtId="0" fontId="10" fillId="2" borderId="10" xfId="0" applyFont="1" applyFill="1" applyBorder="1" applyAlignment="1">
      <alignment horizontal="center" vertical="top" wrapText="1"/>
    </xf>
    <xf numFmtId="0" fontId="10" fillId="2" borderId="11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top" wrapText="1"/>
    </xf>
    <xf numFmtId="0" fontId="10" fillId="2" borderId="0" xfId="0" applyFont="1" applyFill="1" applyAlignment="1">
      <alignment horizontal="left" vertical="top" wrapText="1"/>
    </xf>
    <xf numFmtId="0" fontId="5" fillId="2" borderId="9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5" fillId="2" borderId="0" xfId="2" applyFont="1" applyFill="1" applyAlignment="1">
      <alignment horizontal="center" vertical="center" wrapText="1"/>
    </xf>
    <xf numFmtId="0" fontId="10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center" wrapText="1"/>
    </xf>
    <xf numFmtId="14" fontId="4" fillId="2" borderId="0" xfId="0" applyNumberFormat="1" applyFont="1" applyFill="1" applyAlignment="1">
      <alignment horizontal="center" wrapText="1"/>
    </xf>
    <xf numFmtId="0" fontId="5" fillId="2" borderId="0" xfId="2" applyFont="1" applyFill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21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</cellXfs>
  <cellStyles count="66">
    <cellStyle name="20% - Accent1" xfId="22" builtinId="30" customBuiltin="1"/>
    <cellStyle name="20% - Accent1 2" xfId="47" xr:uid="{6885BD1F-1D3A-45EA-B343-86E52969B7A2}"/>
    <cellStyle name="20% - Accent2" xfId="26" builtinId="34" customBuiltin="1"/>
    <cellStyle name="20% - Accent2 2" xfId="50" xr:uid="{6A4C8EE9-7376-4389-85A5-3112B6C09501}"/>
    <cellStyle name="20% - Accent3" xfId="30" builtinId="38" customBuiltin="1"/>
    <cellStyle name="20% - Accent3 2" xfId="53" xr:uid="{11C958AD-DA7E-46FC-8645-31B3D39D8B66}"/>
    <cellStyle name="20% - Accent4" xfId="34" builtinId="42" customBuiltin="1"/>
    <cellStyle name="20% - Accent4 2" xfId="56" xr:uid="{80BD12E9-66BB-4AE6-96B3-68BA44742938}"/>
    <cellStyle name="20% - Accent5" xfId="38" builtinId="46" customBuiltin="1"/>
    <cellStyle name="20% - Accent5 2" xfId="59" xr:uid="{F7B4483B-A6EC-404D-905B-D757B10EC1DE}"/>
    <cellStyle name="20% - Accent6" xfId="42" builtinId="50" customBuiltin="1"/>
    <cellStyle name="20% - Accent6 2" xfId="62" xr:uid="{06600F98-6B44-4BBC-8FBD-E5A26236F08F}"/>
    <cellStyle name="40% - Accent1" xfId="23" builtinId="31" customBuiltin="1"/>
    <cellStyle name="40% - Accent1 2" xfId="48" xr:uid="{5A602F74-A16C-4E67-899D-A0A4A74859F2}"/>
    <cellStyle name="40% - Accent2" xfId="27" builtinId="35" customBuiltin="1"/>
    <cellStyle name="40% - Accent2 2" xfId="51" xr:uid="{A94312AC-43A8-4F8C-B93F-E2060394B3B1}"/>
    <cellStyle name="40% - Accent3" xfId="31" builtinId="39" customBuiltin="1"/>
    <cellStyle name="40% - Accent3 2" xfId="54" xr:uid="{AFE86672-1D8C-4621-8029-B2ECCC4EF112}"/>
    <cellStyle name="40% - Accent4" xfId="35" builtinId="43" customBuiltin="1"/>
    <cellStyle name="40% - Accent4 2" xfId="57" xr:uid="{6E1967FC-693F-4A3E-A318-D21CCCEF40D7}"/>
    <cellStyle name="40% - Accent5" xfId="39" builtinId="47" customBuiltin="1"/>
    <cellStyle name="40% - Accent5 2" xfId="60" xr:uid="{AF2D4623-DC55-4B32-9D0D-5CAE3DB45D6E}"/>
    <cellStyle name="40% - Accent6" xfId="43" builtinId="51" customBuiltin="1"/>
    <cellStyle name="40% - Accent6 2" xfId="63" xr:uid="{827690FF-B72F-44E9-9E75-B1BB2274CA2C}"/>
    <cellStyle name="60% - Accent1" xfId="24" builtinId="32" customBuiltin="1"/>
    <cellStyle name="60% - Accent1 2" xfId="49" xr:uid="{AB255837-D3E6-46D6-BC5B-524941239194}"/>
    <cellStyle name="60% - Accent2" xfId="28" builtinId="36" customBuiltin="1"/>
    <cellStyle name="60% - Accent2 2" xfId="52" xr:uid="{7B1A7538-7A07-4FAD-8C1B-3AFBAAA24243}"/>
    <cellStyle name="60% - Accent3" xfId="32" builtinId="40" customBuiltin="1"/>
    <cellStyle name="60% - Accent3 2" xfId="55" xr:uid="{08469B20-1AA1-4753-828C-CDC7CD8035D7}"/>
    <cellStyle name="60% - Accent4" xfId="36" builtinId="44" customBuiltin="1"/>
    <cellStyle name="60% - Accent4 2" xfId="58" xr:uid="{1D134728-CEA4-4E0A-A220-5B3034392248}"/>
    <cellStyle name="60% - Accent5" xfId="40" builtinId="48" customBuiltin="1"/>
    <cellStyle name="60% - Accent5 2" xfId="61" xr:uid="{8820F336-E5D2-4C23-A806-7D853D166242}"/>
    <cellStyle name="60% - Accent6" xfId="44" builtinId="52" customBuiltin="1"/>
    <cellStyle name="60% - Accent6 2" xfId="64" xr:uid="{4AB581DA-A289-4D87-A33F-83A14F0B7D07}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5 13" xfId="4" xr:uid="{00000000-0005-0000-0000-000001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3" xr:uid="{00000000-0005-0000-0000-000003000000}"/>
    <cellStyle name="Normal 3" xfId="45" xr:uid="{510B74D3-B5A1-41C0-91A7-0DCEA4FB8BD5}"/>
    <cellStyle name="Normal 4" xfId="2" xr:uid="{00000000-0005-0000-0000-000004000000}"/>
    <cellStyle name="Note 2" xfId="46" xr:uid="{A1884A25-E1EB-48D9-B8C5-6317927A98CE}"/>
    <cellStyle name="Note 2 2" xfId="65" xr:uid="{4B31EC8D-E65F-4062-8336-85F9267594CA}"/>
    <cellStyle name="Output" xfId="14" builtinId="21" customBuiltin="1"/>
    <cellStyle name="Title" xfId="5" builtinId="15" customBuiltin="1"/>
    <cellStyle name="Total" xfId="20" builtinId="25" customBuiltin="1"/>
    <cellStyle name="Warning Text" xfId="18" builtinId="11" customBuiltin="1"/>
  </cellStyles>
  <dxfs count="1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134471</xdr:rowOff>
    </xdr:from>
    <xdr:to>
      <xdr:col>6</xdr:col>
      <xdr:colOff>1375521</xdr:colOff>
      <xdr:row>4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8" y="336177"/>
          <a:ext cx="12561793" cy="11766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cuments\Zalo%20Received%20Files\B&#7842;NG%20THEO%20D&#213;I%20TI&#7870;N%20&#272;&#7896;%20V&#192;%20RA%20B&#192;I%20T&#7892;%20K&#7870;T%20C&#7844;U%20PH&#7908;%20(1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NG%20THEO%20DOI%20TIEN%20DO%20VA%20RA%20BAI%20-TO%20KET%20CAU%20PHU/K&#7870;%20HO&#7840;CH%20TRI&#7874;N%20KHAI%20V&#192;%20THEO%20D&#213;I%20TI&#7870;N%20&#272;&#7896;%20D&#431;%20AN-%20K&#7870;T%20C&#194;U%20PH&#7908;%20AH1.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M&#7851;u%20K&#7871;%20Ho&#7841;ch%20C&#244;ng%20Vi&#7879;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NAM2021/BANG%20THONG%20KE%20KHOI%20LUONG%20T2-2021/02-2021-%20THEO%20DOI%20GIA%20CONG%20T&#7892;%20C&#7916;A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G THEO DOI CHINH XAC"/>
      <sheetName val="TK Chi tiet"/>
      <sheetName val="BIÊN BẢN BÀN GIAO"/>
      <sheetName val="BẢN MÃ"/>
      <sheetName val="THONG KE SDC"/>
      <sheetName val="THONG KE V DOT LO"/>
      <sheetName val="THEO DÕI TIẾN ĐỘ"/>
      <sheetName val="KE HOACH RA BAI GIA CONG AH4"/>
      <sheetName val="TIEN DO CAC HANG MUC TO CUA"/>
      <sheetName val="PDF"/>
      <sheetName val="Trích Data-KHONG PL"/>
      <sheetName val="Tạo Single part"/>
      <sheetName val="Sheet1"/>
      <sheetName val="BIÊN BẢN BÀN GIAO BẢN MÃ "/>
      <sheetName val="1 (2)"/>
      <sheetName val="KE HOACH SAN XUAT-KCP"/>
      <sheetName val="BẢNG THEO DÕI TIẾN ĐỘ VÀ RA BÀI"/>
      <sheetName val="KL TRIEN KHAI"/>
    </sheetNames>
    <sheetDataSet>
      <sheetData sheetId="0">
        <row r="2">
          <cell r="B2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 t="str">
            <v>TÊN HẠNG MỤC</v>
          </cell>
        </row>
        <row r="7">
          <cell r="B7" t="str">
            <v>13-NS2-BOP-BOM (HR)_2020.05.06</v>
          </cell>
        </row>
        <row r="8">
          <cell r="B8" t="str">
            <v>CẢNG CÁI MÉP  GEMADEPT-TERMINAL LINK (GEMALINK), GIAI ĐOẠN 2</v>
          </cell>
        </row>
        <row r="9">
          <cell r="B9" t="str">
            <v>CẢNG CÁI MÉP_6 MODUL SÀN - NHÀ VĂN PHÒNG</v>
          </cell>
        </row>
        <row r="10">
          <cell r="B10" t="str">
            <v>CẢNG CÁI MÉP_6 MODUL SÀN CONT LẠNH-LOẠI A</v>
          </cell>
        </row>
        <row r="11">
          <cell r="B11" t="str">
            <v>CẢNG CÁI MÉP_6 MODUL SÀN CONT LẠNH-LOẠI B</v>
          </cell>
        </row>
        <row r="12">
          <cell r="B12" t="str">
            <v>FILTER LAN CAN CAU THANG- FILTER 1.2</v>
          </cell>
        </row>
        <row r="13">
          <cell r="B13" t="str">
            <v>MASAN HAU GIANG - REV3</v>
          </cell>
        </row>
        <row r="14">
          <cell r="B14" t="str">
            <v>MASAN HAU GIANG - THANG SÀN TỦ ĐIỆN</v>
          </cell>
        </row>
        <row r="15">
          <cell r="B15" t="str">
            <v>MEAT LONG AN - NHÀ XE 3 TẦNG</v>
          </cell>
        </row>
        <row r="16">
          <cell r="B16" t="str">
            <v>MOMABSA - ELEVATED WATER TANK</v>
          </cell>
        </row>
        <row r="17">
          <cell r="B17" t="str">
            <v>NGHI SON 2_CHRORINATION BUILDING</v>
          </cell>
        </row>
        <row r="18">
          <cell r="B18" t="str">
            <v>NS2- BOP- #1 ABSORBER RECIRCULATION PUMP SHELTER</v>
          </cell>
        </row>
        <row r="19">
          <cell r="B19" t="str">
            <v xml:space="preserve">NS2- BOP #2ABSORBER RECIRCULATION PUMP SHELTER </v>
          </cell>
        </row>
        <row r="20">
          <cell r="B20" t="str">
            <v>SMC3.1_FA01_PHAÙT SINH WALKWAY_AH4</v>
          </cell>
        </row>
        <row r="21">
          <cell r="B21" t="str">
            <v>SMC3.1_FA02_PHAÙT SINH WALKWAY_AH4</v>
          </cell>
        </row>
        <row r="22">
          <cell r="B22" t="str">
            <v>TÔN PHƯƠNG NAM PHAT SINH</v>
          </cell>
        </row>
        <row r="23">
          <cell r="B23" t="str">
            <v>TRO BAY HOÀNG SƠN - GIÁ ĐỠ CONTAINER ĐIỆN</v>
          </cell>
        </row>
        <row r="24">
          <cell r="B24" t="str">
            <v>TRO BAY HOANG SON- FILTER 2.4</v>
          </cell>
        </row>
        <row r="25">
          <cell r="B25" t="str">
            <v>TRO BAY HOANG SON- FILTER 4.4.1&amp;4.4.2&amp;5.5</v>
          </cell>
        </row>
        <row r="26">
          <cell r="B26" t="str">
            <v>TT TRIEN LAM Q7 GD2-ZONE1</v>
          </cell>
        </row>
        <row r="27">
          <cell r="B27" t="str">
            <v>TT TRIEN LAM Q7 GD2-ZONE2</v>
          </cell>
        </row>
        <row r="28">
          <cell r="B28" t="str">
            <v>TT TRIEN LAM Q7 GD2-ZONE3</v>
          </cell>
        </row>
        <row r="29">
          <cell r="B29" t="str">
            <v>TTTL Q.7_GD2-STAIR-ZONE 1</v>
          </cell>
        </row>
        <row r="30">
          <cell r="B30" t="str">
            <v>TTTL Q.7_GD2-STAIR-ZONE 2</v>
          </cell>
        </row>
        <row r="31">
          <cell r="B31" t="str">
            <v>TTTLQ7-SAN 3F -1500mm</v>
          </cell>
        </row>
        <row r="32">
          <cell r="B32" t="str">
            <v>VTC - NHA XUONG 2 ZONE 2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13">
          <cell r="B113">
            <v>0</v>
          </cell>
        </row>
        <row r="1010">
          <cell r="B1010" t="str">
            <v>TETRA PART (A.CƠ)</v>
          </cell>
        </row>
        <row r="1011">
          <cell r="B1011" t="str">
            <v>GAMBAR ROCA-INDONESIA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ổng quan Dự án"/>
      <sheetName val="KE HOACH SAN XUAT-KCP"/>
      <sheetName val="KẾ HOẠCH TRIỂN KHAI VÀ THEO DÕI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ổng quan Dự án"/>
      <sheetName val="Chi tiết Nhiệm vụ"/>
      <sheetName val="Mẫu Kế Hoạch Công Việc"/>
    </sheetNames>
    <sheetDataSet>
      <sheetData sheetId="0"/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-01"/>
      <sheetName val="MA DU AN"/>
      <sheetName val="DATA"/>
      <sheetName val="TK Chi tiet"/>
      <sheetName val="BIÊN BẢN BÀN GIAO"/>
      <sheetName val="MAIL BAN HANH"/>
      <sheetName val="KL TRIEN KHAI"/>
      <sheetName val="KE HOACH"/>
      <sheetName val="DAILY"/>
      <sheetName val="TK KHỐI LƯỢNG"/>
      <sheetName val="TK SỐ LƯỢNG"/>
      <sheetName val="KE HOACH RA BAI GIA CONG AH4"/>
      <sheetName val="BẢN MÃ"/>
      <sheetName val="T. HÌNH"/>
      <sheetName val="V+U"/>
      <sheetName val="QUY TRÌNH"/>
      <sheetName val="KẾ HOẠCH GC THÁNG"/>
      <sheetName val="BIÊN BẢN BÀN GIAO BẢN MÃ "/>
    </sheetNames>
    <sheetDataSet>
      <sheetData sheetId="0"/>
      <sheetData sheetId="1"/>
      <sheetData sheetId="2">
        <row r="3">
          <cell r="A3" t="str">
            <v>21.012-1</v>
          </cell>
        </row>
      </sheetData>
      <sheetData sheetId="3">
        <row r="4">
          <cell r="C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  <pageSetUpPr fitToPage="1"/>
  </sheetPr>
  <dimension ref="A1:Y697"/>
  <sheetViews>
    <sheetView tabSelected="1" view="pageBreakPreview" topLeftCell="A7" zoomScale="55" zoomScaleNormal="40" zoomScaleSheetLayoutView="55" workbookViewId="0">
      <pane xSplit="3" ySplit="8" topLeftCell="D15" activePane="bottomRight" state="frozen"/>
      <selection activeCell="A7" sqref="A7"/>
      <selection pane="topRight" activeCell="D7" sqref="D7"/>
      <selection pane="bottomLeft" activeCell="A15" sqref="A15"/>
      <selection pane="bottomRight" activeCell="D30" sqref="D30"/>
    </sheetView>
  </sheetViews>
  <sheetFormatPr defaultColWidth="9.140625" defaultRowHeight="20.25" outlineLevelCol="2"/>
  <cols>
    <col min="1" max="1" width="9.140625" style="7"/>
    <col min="2" max="2" width="7.42578125" style="7" customWidth="1"/>
    <col min="3" max="4" width="42.28515625" style="10" customWidth="1"/>
    <col min="5" max="5" width="38.42578125" style="10" customWidth="1"/>
    <col min="6" max="6" width="40.28515625" style="23" customWidth="1"/>
    <col min="7" max="7" width="34" style="24" customWidth="1"/>
    <col min="8" max="8" width="11.85546875" style="24" customWidth="1"/>
    <col min="9" max="9" width="10.5703125" style="23" customWidth="1"/>
    <col min="10" max="10" width="22.85546875" style="24" customWidth="1"/>
    <col min="11" max="11" width="16.28515625" style="37" customWidth="1"/>
    <col min="12" max="12" width="32.28515625" style="36" bestFit="1" customWidth="1" outlineLevel="2"/>
    <col min="13" max="13" width="14.140625" style="36" hidden="1" customWidth="1" outlineLevel="2"/>
    <col min="14" max="14" width="14.7109375" style="36" hidden="1" customWidth="1" outlineLevel="2"/>
    <col min="15" max="15" width="49.7109375" style="36" customWidth="1" outlineLevel="2"/>
    <col min="16" max="17" width="9.85546875" style="36" customWidth="1" outlineLevel="2"/>
    <col min="18" max="18" width="30.140625" style="36" customWidth="1" outlineLevel="2"/>
    <col min="19" max="19" width="39.7109375" style="10" customWidth="1"/>
    <col min="20" max="20" width="11.140625" style="10" customWidth="1"/>
    <col min="21" max="21" width="11.7109375" style="10" customWidth="1"/>
    <col min="22" max="22" width="21" style="11" customWidth="1"/>
    <col min="23" max="23" width="18.7109375" style="10" customWidth="1"/>
    <col min="24" max="24" width="9" style="10" customWidth="1"/>
    <col min="25" max="25" width="9.140625" style="10"/>
    <col min="26" max="26" width="9.140625" style="7"/>
    <col min="27" max="27" width="23.7109375" style="7" customWidth="1"/>
    <col min="28" max="16384" width="9.140625" style="7"/>
  </cols>
  <sheetData>
    <row r="1" spans="1:25">
      <c r="B1" s="30"/>
      <c r="C1" s="31"/>
      <c r="D1" s="31"/>
      <c r="E1" s="31"/>
      <c r="F1" s="32"/>
      <c r="G1" s="33"/>
      <c r="H1" s="33"/>
      <c r="I1" s="32"/>
      <c r="J1" s="33"/>
      <c r="K1" s="34"/>
      <c r="L1" s="35"/>
    </row>
    <row r="2" spans="1:25" ht="26.25" customHeight="1"/>
    <row r="3" spans="1:25" ht="26.25" customHeight="1"/>
    <row r="4" spans="1:25" ht="26.25" customHeight="1"/>
    <row r="5" spans="1:25" ht="98.25" customHeight="1">
      <c r="B5" s="90" t="s">
        <v>0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</row>
    <row r="6" spans="1:25" s="38" customFormat="1" ht="20.100000000000001" customHeight="1">
      <c r="B6" s="39"/>
      <c r="C6" s="91" t="s">
        <v>22</v>
      </c>
      <c r="D6" s="91"/>
      <c r="E6" s="91"/>
      <c r="F6" s="91"/>
      <c r="G6" s="91" t="s">
        <v>23</v>
      </c>
      <c r="H6" s="91"/>
      <c r="I6" s="91"/>
      <c r="J6" s="91"/>
      <c r="K6" s="92" t="s">
        <v>24</v>
      </c>
      <c r="L6" s="92"/>
      <c r="M6" s="92"/>
      <c r="N6" s="92"/>
      <c r="O6" s="92"/>
      <c r="P6" s="92"/>
      <c r="Q6" s="92"/>
      <c r="R6" s="92"/>
      <c r="S6" s="92"/>
    </row>
    <row r="7" spans="1:25" ht="18" customHeight="1">
      <c r="C7" s="25"/>
      <c r="D7" s="25"/>
      <c r="E7" s="25"/>
      <c r="F7" s="22"/>
      <c r="G7" s="22"/>
      <c r="H7" s="22"/>
      <c r="I7" s="22"/>
      <c r="J7" s="40" t="str">
        <f>[4]DATA!A3</f>
        <v>21.012-1</v>
      </c>
      <c r="K7" s="41"/>
      <c r="L7" s="42"/>
      <c r="M7" s="42"/>
      <c r="N7" s="42"/>
      <c r="O7" s="42"/>
      <c r="P7" s="42"/>
      <c r="Q7" s="42"/>
      <c r="R7" s="42"/>
      <c r="S7" s="43" t="e">
        <f>VALUE(LEFT(K7,FIND(".",K7)-1))</f>
        <v>#VALUE!</v>
      </c>
    </row>
    <row r="8" spans="1:25" ht="73.5" customHeight="1">
      <c r="B8" s="50" t="s">
        <v>111</v>
      </c>
      <c r="C8" s="50"/>
      <c r="D8" s="50"/>
      <c r="E8" s="50"/>
      <c r="F8" s="52"/>
      <c r="G8" s="52"/>
      <c r="H8" s="52"/>
      <c r="I8" s="52"/>
      <c r="J8" s="52"/>
      <c r="K8" s="93" t="s">
        <v>27</v>
      </c>
      <c r="L8" s="93"/>
      <c r="M8" s="44"/>
      <c r="N8" s="44"/>
      <c r="O8" s="44"/>
      <c r="P8" s="44"/>
      <c r="Q8" s="44"/>
      <c r="R8" s="44"/>
      <c r="S8" s="20"/>
    </row>
    <row r="9" spans="1:25" ht="22.5" customHeight="1">
      <c r="B9" s="50" t="s">
        <v>208</v>
      </c>
      <c r="C9" s="50"/>
      <c r="D9" s="50"/>
      <c r="E9" s="50"/>
      <c r="F9" s="21"/>
      <c r="G9" s="22"/>
      <c r="H9" s="22"/>
      <c r="K9" s="2"/>
      <c r="L9" s="1"/>
      <c r="M9" s="42"/>
      <c r="N9" s="42"/>
      <c r="O9" s="42"/>
      <c r="P9" s="42"/>
      <c r="Q9" s="42"/>
      <c r="R9" s="42"/>
      <c r="S9" s="25"/>
      <c r="V9" s="11">
        <f>25+418+1021+187.5+100</f>
        <v>1751.5</v>
      </c>
    </row>
    <row r="10" spans="1:25" ht="23.25" customHeight="1">
      <c r="B10" s="86" t="s">
        <v>17</v>
      </c>
      <c r="C10" s="86"/>
      <c r="D10" s="86"/>
      <c r="E10" s="86"/>
      <c r="F10" s="86"/>
      <c r="G10" s="86"/>
      <c r="H10" s="86"/>
      <c r="I10" s="26"/>
      <c r="J10" s="26"/>
      <c r="K10" s="85" t="s">
        <v>1</v>
      </c>
      <c r="L10" s="85"/>
      <c r="M10" s="45"/>
      <c r="N10" s="45"/>
      <c r="O10" s="45"/>
      <c r="P10" s="45"/>
      <c r="Q10" s="45"/>
      <c r="R10" s="45"/>
      <c r="S10" s="27"/>
      <c r="V10" s="11">
        <f>25+556+731+731+798+411+100</f>
        <v>3352</v>
      </c>
      <c r="W10" s="10">
        <f>25+158+100</f>
        <v>283</v>
      </c>
    </row>
    <row r="11" spans="1:25" ht="8.25" customHeight="1">
      <c r="B11" s="25"/>
      <c r="C11" s="25"/>
      <c r="D11" s="25"/>
      <c r="E11" s="25"/>
      <c r="F11" s="22"/>
      <c r="G11" s="46"/>
      <c r="H11" s="46"/>
      <c r="K11" s="7"/>
      <c r="L11" s="7"/>
      <c r="M11" s="7"/>
      <c r="N11" s="7"/>
      <c r="O11" s="7"/>
      <c r="P11" s="7"/>
      <c r="Q11" s="7"/>
      <c r="R11" s="7"/>
    </row>
    <row r="12" spans="1:25" ht="48" customHeight="1">
      <c r="B12" s="99" t="s">
        <v>18</v>
      </c>
      <c r="C12" s="100" t="s">
        <v>2</v>
      </c>
      <c r="D12" s="101"/>
      <c r="E12" s="101"/>
      <c r="F12" s="102"/>
      <c r="G12" s="96" t="s">
        <v>3</v>
      </c>
      <c r="H12" s="96" t="s">
        <v>4</v>
      </c>
      <c r="I12" s="96" t="s">
        <v>5</v>
      </c>
      <c r="J12" s="96" t="s">
        <v>6</v>
      </c>
      <c r="K12" s="96" t="s">
        <v>7</v>
      </c>
      <c r="L12" s="96" t="s">
        <v>8</v>
      </c>
      <c r="M12" s="96" t="s">
        <v>19</v>
      </c>
      <c r="N12" s="96" t="s">
        <v>20</v>
      </c>
      <c r="O12" s="5" t="s">
        <v>26</v>
      </c>
      <c r="P12" s="5" t="s">
        <v>25</v>
      </c>
      <c r="Q12" s="5"/>
      <c r="R12" s="5"/>
      <c r="S12" s="96" t="s">
        <v>9</v>
      </c>
    </row>
    <row r="13" spans="1:25" ht="8.25" customHeight="1">
      <c r="B13" s="98"/>
      <c r="C13" s="103"/>
      <c r="D13" s="104"/>
      <c r="E13" s="104"/>
      <c r="F13" s="105"/>
      <c r="G13" s="98"/>
      <c r="H13" s="98"/>
      <c r="I13" s="97"/>
      <c r="J13" s="97"/>
      <c r="K13" s="97"/>
      <c r="L13" s="98"/>
      <c r="M13" s="97"/>
      <c r="N13" s="98"/>
      <c r="O13" s="51"/>
      <c r="P13" s="51"/>
      <c r="Q13" s="51"/>
      <c r="R13" s="51"/>
      <c r="S13" s="98"/>
      <c r="T13" s="47"/>
      <c r="U13" s="47"/>
      <c r="V13" s="48"/>
      <c r="W13" s="25"/>
      <c r="X13" s="94"/>
      <c r="Y13" s="94"/>
    </row>
    <row r="14" spans="1:25" ht="27.95" customHeight="1">
      <c r="B14" s="3" t="s">
        <v>10</v>
      </c>
      <c r="C14" s="4"/>
      <c r="D14" s="4"/>
      <c r="E14" s="4"/>
      <c r="F14" s="4"/>
      <c r="G14" s="3"/>
      <c r="H14" s="5"/>
      <c r="I14" s="3"/>
      <c r="J14" s="6">
        <f ca="1">SUBTOTAL(9,J15:J694)</f>
        <v>46</v>
      </c>
      <c r="K14" s="5"/>
      <c r="L14" s="12">
        <f ca="1">SUBTOTAL(9,L15:L694)</f>
        <v>7539.58</v>
      </c>
      <c r="M14" s="29"/>
      <c r="N14" s="12">
        <f>SUBTOTAL(9,N15:N694)</f>
        <v>0</v>
      </c>
      <c r="O14" s="12"/>
      <c r="P14" s="12"/>
      <c r="Q14" s="12"/>
      <c r="R14" s="12"/>
      <c r="S14" s="3"/>
      <c r="T14" s="47"/>
      <c r="U14" s="47"/>
      <c r="V14" s="48"/>
      <c r="W14" s="25"/>
      <c r="X14" s="47"/>
      <c r="Y14" s="47"/>
    </row>
    <row r="15" spans="1:25" ht="27.75" customHeight="1">
      <c r="A15" s="7" t="str">
        <f t="shared" ref="A15:A16" si="0">IF(B15="","","PRINT")</f>
        <v>PRINT</v>
      </c>
      <c r="B15" s="15">
        <f t="shared" ref="B15:B16" si="1">IF(C15="","",ROW()-14)</f>
        <v>1</v>
      </c>
      <c r="C15" s="16" t="s">
        <v>114</v>
      </c>
      <c r="D15" s="19" t="str">
        <f t="shared" ref="D15:D16" si="2">MID(C15,3,13)</f>
        <v>01ERC3001-001</v>
      </c>
      <c r="E15" s="19" t="str">
        <f t="shared" ref="E15:E16" si="3">MID(D15,3,7)</f>
        <v>ERC3001</v>
      </c>
      <c r="F15" s="16" t="s">
        <v>160</v>
      </c>
      <c r="G15" s="16" t="s">
        <v>67</v>
      </c>
      <c r="H15" s="17">
        <v>3650</v>
      </c>
      <c r="I15" s="16" t="s">
        <v>34</v>
      </c>
      <c r="J15" s="16">
        <v>1</v>
      </c>
      <c r="K15" s="18">
        <v>117.43</v>
      </c>
      <c r="L15" s="18">
        <v>117.43</v>
      </c>
      <c r="M15" s="59" t="s">
        <v>36</v>
      </c>
      <c r="N15" s="59"/>
      <c r="O15" s="18" t="s">
        <v>164</v>
      </c>
      <c r="P15" s="63" t="s">
        <v>32</v>
      </c>
      <c r="Q15" s="59" t="s">
        <v>33</v>
      </c>
      <c r="R15" s="59" t="s">
        <v>37</v>
      </c>
      <c r="S15" s="19"/>
    </row>
    <row r="16" spans="1:25" ht="27.95" customHeight="1">
      <c r="A16" s="7" t="str">
        <f t="shared" si="0"/>
        <v>PRINT</v>
      </c>
      <c r="B16" s="15">
        <f t="shared" si="1"/>
        <v>2</v>
      </c>
      <c r="C16" s="16" t="s">
        <v>115</v>
      </c>
      <c r="D16" s="19" t="str">
        <f t="shared" si="2"/>
        <v>01ERC3001-004</v>
      </c>
      <c r="E16" s="19" t="str">
        <f t="shared" si="3"/>
        <v>ERC3001</v>
      </c>
      <c r="F16" s="16" t="s">
        <v>160</v>
      </c>
      <c r="G16" s="16" t="s">
        <v>67</v>
      </c>
      <c r="H16" s="17">
        <v>3650</v>
      </c>
      <c r="I16" s="16" t="s">
        <v>34</v>
      </c>
      <c r="J16" s="16">
        <v>1</v>
      </c>
      <c r="K16" s="18">
        <v>117.43</v>
      </c>
      <c r="L16" s="18">
        <v>117.43</v>
      </c>
      <c r="M16" s="59"/>
      <c r="N16" s="59"/>
      <c r="O16" s="18" t="s">
        <v>165</v>
      </c>
      <c r="P16" s="63" t="s">
        <v>32</v>
      </c>
      <c r="Q16" s="59" t="s">
        <v>33</v>
      </c>
      <c r="R16" s="59" t="s">
        <v>37</v>
      </c>
      <c r="S16" s="19"/>
    </row>
    <row r="17" spans="1:19" ht="27.95" customHeight="1">
      <c r="A17" s="7" t="str">
        <f t="shared" ref="A17:A72" si="4">IF(B17="","","PRINT")</f>
        <v>PRINT</v>
      </c>
      <c r="B17" s="15">
        <f t="shared" ref="B17:B72" si="5">IF(C17="","",ROW()-14)</f>
        <v>3</v>
      </c>
      <c r="C17" s="16" t="s">
        <v>116</v>
      </c>
      <c r="D17" s="19" t="str">
        <f t="shared" ref="D17:D31" si="6">MID(C17,3,13)</f>
        <v>01ERC3001-003</v>
      </c>
      <c r="E17" s="19" t="str">
        <f t="shared" ref="E17:E77" si="7">MID(D17,3,7)</f>
        <v>ERC3001</v>
      </c>
      <c r="F17" s="16" t="s">
        <v>160</v>
      </c>
      <c r="G17" s="16" t="s">
        <v>67</v>
      </c>
      <c r="H17" s="17">
        <v>3650</v>
      </c>
      <c r="I17" s="16" t="s">
        <v>34</v>
      </c>
      <c r="J17" s="16">
        <v>1</v>
      </c>
      <c r="K17" s="18">
        <v>117.43</v>
      </c>
      <c r="L17" s="18">
        <v>117.43</v>
      </c>
      <c r="M17" s="59"/>
      <c r="N17" s="59"/>
      <c r="O17" s="18" t="s">
        <v>166</v>
      </c>
      <c r="P17" s="63" t="s">
        <v>32</v>
      </c>
      <c r="Q17" s="59" t="s">
        <v>33</v>
      </c>
      <c r="R17" s="59" t="s">
        <v>37</v>
      </c>
      <c r="S17" s="19"/>
    </row>
    <row r="18" spans="1:19" ht="30" customHeight="1">
      <c r="A18" s="7" t="str">
        <f t="shared" si="4"/>
        <v>PRINT</v>
      </c>
      <c r="B18" s="15">
        <f t="shared" si="5"/>
        <v>4</v>
      </c>
      <c r="C18" s="16" t="s">
        <v>117</v>
      </c>
      <c r="D18" s="19" t="str">
        <f t="shared" si="6"/>
        <v>01ERC3001-002</v>
      </c>
      <c r="E18" s="19" t="str">
        <f t="shared" si="7"/>
        <v>ERC3001</v>
      </c>
      <c r="F18" s="16" t="s">
        <v>160</v>
      </c>
      <c r="G18" s="16" t="s">
        <v>67</v>
      </c>
      <c r="H18" s="17">
        <v>3650</v>
      </c>
      <c r="I18" s="16" t="s">
        <v>34</v>
      </c>
      <c r="J18" s="16">
        <v>1</v>
      </c>
      <c r="K18" s="18">
        <v>117.43</v>
      </c>
      <c r="L18" s="18">
        <v>117.43</v>
      </c>
      <c r="M18" s="59"/>
      <c r="N18" s="59"/>
      <c r="O18" s="18" t="s">
        <v>167</v>
      </c>
      <c r="P18" s="63" t="s">
        <v>32</v>
      </c>
      <c r="Q18" s="59" t="s">
        <v>33</v>
      </c>
      <c r="R18" s="59" t="s">
        <v>37</v>
      </c>
      <c r="S18" s="19"/>
    </row>
    <row r="19" spans="1:19" ht="27.95" customHeight="1">
      <c r="A19" s="7" t="str">
        <f t="shared" si="4"/>
        <v>PRINT</v>
      </c>
      <c r="B19" s="15">
        <f t="shared" si="5"/>
        <v>5</v>
      </c>
      <c r="C19" s="16" t="s">
        <v>118</v>
      </c>
      <c r="D19" s="19" t="str">
        <f t="shared" si="6"/>
        <v>01ERC3002-002</v>
      </c>
      <c r="E19" s="19" t="str">
        <f t="shared" si="7"/>
        <v>ERC3002</v>
      </c>
      <c r="F19" s="16" t="s">
        <v>160</v>
      </c>
      <c r="G19" s="16" t="s">
        <v>67</v>
      </c>
      <c r="H19" s="17">
        <v>3650</v>
      </c>
      <c r="I19" s="16" t="s">
        <v>34</v>
      </c>
      <c r="J19" s="16">
        <v>1</v>
      </c>
      <c r="K19" s="18">
        <v>117.7</v>
      </c>
      <c r="L19" s="18">
        <v>117.7</v>
      </c>
      <c r="M19" s="59"/>
      <c r="N19" s="59"/>
      <c r="O19" s="18" t="s">
        <v>168</v>
      </c>
      <c r="P19" s="63" t="s">
        <v>32</v>
      </c>
      <c r="Q19" s="59" t="s">
        <v>33</v>
      </c>
      <c r="R19" s="59" t="s">
        <v>37</v>
      </c>
      <c r="S19" s="19"/>
    </row>
    <row r="20" spans="1:19" ht="27.95" customHeight="1">
      <c r="A20" s="7" t="str">
        <f t="shared" si="4"/>
        <v>PRINT</v>
      </c>
      <c r="B20" s="15">
        <f t="shared" si="5"/>
        <v>6</v>
      </c>
      <c r="C20" s="16" t="s">
        <v>119</v>
      </c>
      <c r="D20" s="19" t="str">
        <f t="shared" si="6"/>
        <v>01ERC3002-001</v>
      </c>
      <c r="E20" s="19" t="str">
        <f t="shared" si="7"/>
        <v>ERC3002</v>
      </c>
      <c r="F20" s="16" t="s">
        <v>160</v>
      </c>
      <c r="G20" s="16" t="s">
        <v>67</v>
      </c>
      <c r="H20" s="17">
        <v>3650</v>
      </c>
      <c r="I20" s="16" t="s">
        <v>34</v>
      </c>
      <c r="J20" s="16">
        <v>1</v>
      </c>
      <c r="K20" s="18">
        <v>117.7</v>
      </c>
      <c r="L20" s="18">
        <v>117.7</v>
      </c>
      <c r="M20" s="59"/>
      <c r="N20" s="59"/>
      <c r="O20" s="18" t="s">
        <v>169</v>
      </c>
      <c r="P20" s="63" t="s">
        <v>32</v>
      </c>
      <c r="Q20" s="59" t="s">
        <v>33</v>
      </c>
      <c r="R20" s="59" t="s">
        <v>37</v>
      </c>
      <c r="S20" s="19"/>
    </row>
    <row r="21" spans="1:19" ht="27.95" customHeight="1">
      <c r="A21" s="7" t="str">
        <f t="shared" si="4"/>
        <v>PRINT</v>
      </c>
      <c r="B21" s="15">
        <f t="shared" si="5"/>
        <v>7</v>
      </c>
      <c r="C21" s="16" t="s">
        <v>120</v>
      </c>
      <c r="D21" s="19" t="str">
        <f t="shared" si="6"/>
        <v>01ERC3012-008</v>
      </c>
      <c r="E21" s="19" t="str">
        <f t="shared" si="7"/>
        <v>ERC3012</v>
      </c>
      <c r="F21" s="16" t="s">
        <v>161</v>
      </c>
      <c r="G21" s="16" t="s">
        <v>67</v>
      </c>
      <c r="H21" s="17">
        <v>750</v>
      </c>
      <c r="I21" s="16" t="s">
        <v>34</v>
      </c>
      <c r="J21" s="16">
        <v>1</v>
      </c>
      <c r="K21" s="18">
        <v>56.47</v>
      </c>
      <c r="L21" s="18">
        <v>56.47</v>
      </c>
      <c r="M21" s="59"/>
      <c r="N21" s="59"/>
      <c r="O21" s="18" t="s">
        <v>170</v>
      </c>
      <c r="P21" s="63" t="s">
        <v>32</v>
      </c>
      <c r="Q21" s="59" t="s">
        <v>33</v>
      </c>
      <c r="R21" s="59" t="s">
        <v>37</v>
      </c>
      <c r="S21" s="19"/>
    </row>
    <row r="22" spans="1:19" ht="27.95" customHeight="1">
      <c r="A22" s="7" t="str">
        <f t="shared" si="4"/>
        <v>PRINT</v>
      </c>
      <c r="B22" s="15">
        <f t="shared" si="5"/>
        <v>8</v>
      </c>
      <c r="C22" s="16" t="s">
        <v>121</v>
      </c>
      <c r="D22" s="19" t="str">
        <f t="shared" si="6"/>
        <v>01ERC3012-001</v>
      </c>
      <c r="E22" s="19" t="str">
        <f t="shared" si="7"/>
        <v>ERC3012</v>
      </c>
      <c r="F22" s="16" t="s">
        <v>161</v>
      </c>
      <c r="G22" s="16" t="s">
        <v>67</v>
      </c>
      <c r="H22" s="17">
        <v>750</v>
      </c>
      <c r="I22" s="16" t="s">
        <v>34</v>
      </c>
      <c r="J22" s="16">
        <v>1</v>
      </c>
      <c r="K22" s="18">
        <v>56.47</v>
      </c>
      <c r="L22" s="18">
        <v>56.47</v>
      </c>
      <c r="M22" s="59"/>
      <c r="N22" s="59"/>
      <c r="O22" s="18" t="s">
        <v>171</v>
      </c>
      <c r="P22" s="63" t="s">
        <v>32</v>
      </c>
      <c r="Q22" s="59" t="s">
        <v>33</v>
      </c>
      <c r="R22" s="59" t="s">
        <v>37</v>
      </c>
      <c r="S22" s="19"/>
    </row>
    <row r="23" spans="1:19" ht="27.95" customHeight="1">
      <c r="A23" s="7" t="str">
        <f t="shared" si="4"/>
        <v>PRINT</v>
      </c>
      <c r="B23" s="15">
        <f t="shared" si="5"/>
        <v>9</v>
      </c>
      <c r="C23" s="16" t="s">
        <v>122</v>
      </c>
      <c r="D23" s="19" t="str">
        <f t="shared" si="6"/>
        <v>01ERC3012-012</v>
      </c>
      <c r="E23" s="19" t="str">
        <f t="shared" si="7"/>
        <v>ERC3012</v>
      </c>
      <c r="F23" s="16" t="s">
        <v>161</v>
      </c>
      <c r="G23" s="16" t="s">
        <v>67</v>
      </c>
      <c r="H23" s="17">
        <v>750</v>
      </c>
      <c r="I23" s="16" t="s">
        <v>34</v>
      </c>
      <c r="J23" s="16">
        <v>1</v>
      </c>
      <c r="K23" s="18">
        <v>56.47</v>
      </c>
      <c r="L23" s="18">
        <v>56.47</v>
      </c>
      <c r="M23" s="59"/>
      <c r="N23" s="59"/>
      <c r="O23" s="18" t="s">
        <v>172</v>
      </c>
      <c r="P23" s="63" t="s">
        <v>32</v>
      </c>
      <c r="Q23" s="59" t="s">
        <v>33</v>
      </c>
      <c r="R23" s="59" t="s">
        <v>37</v>
      </c>
      <c r="S23" s="19"/>
    </row>
    <row r="24" spans="1:19" ht="27.95" customHeight="1">
      <c r="A24" s="7" t="str">
        <f t="shared" si="4"/>
        <v>PRINT</v>
      </c>
      <c r="B24" s="15">
        <f t="shared" si="5"/>
        <v>10</v>
      </c>
      <c r="C24" s="16" t="s">
        <v>123</v>
      </c>
      <c r="D24" s="19" t="str">
        <f t="shared" si="6"/>
        <v>01ERC3012-002</v>
      </c>
      <c r="E24" s="19" t="str">
        <f t="shared" si="7"/>
        <v>ERC3012</v>
      </c>
      <c r="F24" s="16" t="s">
        <v>161</v>
      </c>
      <c r="G24" s="16" t="s">
        <v>67</v>
      </c>
      <c r="H24" s="17">
        <v>750</v>
      </c>
      <c r="I24" s="16" t="s">
        <v>34</v>
      </c>
      <c r="J24" s="16">
        <v>1</v>
      </c>
      <c r="K24" s="18">
        <v>56.47</v>
      </c>
      <c r="L24" s="18">
        <v>56.47</v>
      </c>
      <c r="M24" s="59"/>
      <c r="N24" s="59"/>
      <c r="O24" s="18" t="s">
        <v>173</v>
      </c>
      <c r="P24" s="63" t="s">
        <v>32</v>
      </c>
      <c r="Q24" s="59" t="s">
        <v>33</v>
      </c>
      <c r="R24" s="59" t="s">
        <v>37</v>
      </c>
      <c r="S24" s="19"/>
    </row>
    <row r="25" spans="1:19" ht="27.95" customHeight="1">
      <c r="A25" s="7" t="str">
        <f t="shared" si="4"/>
        <v>PRINT</v>
      </c>
      <c r="B25" s="15">
        <f t="shared" si="5"/>
        <v>11</v>
      </c>
      <c r="C25" s="16" t="s">
        <v>124</v>
      </c>
      <c r="D25" s="19" t="str">
        <f t="shared" si="6"/>
        <v>01ERC3012-004</v>
      </c>
      <c r="E25" s="19" t="str">
        <f t="shared" si="7"/>
        <v>ERC3012</v>
      </c>
      <c r="F25" s="16" t="s">
        <v>161</v>
      </c>
      <c r="G25" s="16" t="s">
        <v>67</v>
      </c>
      <c r="H25" s="17">
        <v>750</v>
      </c>
      <c r="I25" s="16" t="s">
        <v>34</v>
      </c>
      <c r="J25" s="16">
        <v>1</v>
      </c>
      <c r="K25" s="18">
        <v>56.47</v>
      </c>
      <c r="L25" s="18">
        <v>56.47</v>
      </c>
      <c r="M25" s="59"/>
      <c r="N25" s="59"/>
      <c r="O25" s="18" t="s">
        <v>174</v>
      </c>
      <c r="P25" s="63" t="s">
        <v>32</v>
      </c>
      <c r="Q25" s="59" t="s">
        <v>33</v>
      </c>
      <c r="R25" s="59" t="s">
        <v>37</v>
      </c>
      <c r="S25" s="19"/>
    </row>
    <row r="26" spans="1:19" ht="27.95" customHeight="1">
      <c r="A26" s="7" t="str">
        <f t="shared" si="4"/>
        <v>PRINT</v>
      </c>
      <c r="B26" s="15">
        <f t="shared" si="5"/>
        <v>12</v>
      </c>
      <c r="C26" s="16" t="s">
        <v>125</v>
      </c>
      <c r="D26" s="19" t="str">
        <f t="shared" si="6"/>
        <v>01ERC3012-010</v>
      </c>
      <c r="E26" s="19" t="str">
        <f t="shared" si="7"/>
        <v>ERC3012</v>
      </c>
      <c r="F26" s="16" t="s">
        <v>161</v>
      </c>
      <c r="G26" s="16" t="s">
        <v>67</v>
      </c>
      <c r="H26" s="17">
        <v>750</v>
      </c>
      <c r="I26" s="16" t="s">
        <v>34</v>
      </c>
      <c r="J26" s="16">
        <v>1</v>
      </c>
      <c r="K26" s="18">
        <v>56.47</v>
      </c>
      <c r="L26" s="18">
        <v>56.47</v>
      </c>
      <c r="M26" s="59"/>
      <c r="N26" s="59"/>
      <c r="O26" s="18" t="s">
        <v>175</v>
      </c>
      <c r="P26" s="63" t="s">
        <v>32</v>
      </c>
      <c r="Q26" s="59" t="s">
        <v>33</v>
      </c>
      <c r="R26" s="59" t="s">
        <v>37</v>
      </c>
      <c r="S26" s="19"/>
    </row>
    <row r="27" spans="1:19" ht="27.95" customHeight="1">
      <c r="A27" s="7" t="str">
        <f t="shared" si="4"/>
        <v>PRINT</v>
      </c>
      <c r="B27" s="15">
        <f t="shared" si="5"/>
        <v>13</v>
      </c>
      <c r="C27" s="16" t="s">
        <v>126</v>
      </c>
      <c r="D27" s="19" t="str">
        <f t="shared" si="6"/>
        <v>01ERC3012-009</v>
      </c>
      <c r="E27" s="19" t="str">
        <f t="shared" si="7"/>
        <v>ERC3012</v>
      </c>
      <c r="F27" s="16" t="s">
        <v>161</v>
      </c>
      <c r="G27" s="16" t="s">
        <v>67</v>
      </c>
      <c r="H27" s="17">
        <v>750</v>
      </c>
      <c r="I27" s="16" t="s">
        <v>34</v>
      </c>
      <c r="J27" s="16">
        <v>1</v>
      </c>
      <c r="K27" s="18">
        <v>56.47</v>
      </c>
      <c r="L27" s="18">
        <v>56.47</v>
      </c>
      <c r="M27" s="59"/>
      <c r="N27" s="59"/>
      <c r="O27" s="18" t="s">
        <v>176</v>
      </c>
      <c r="P27" s="63" t="s">
        <v>32</v>
      </c>
      <c r="Q27" s="59" t="s">
        <v>33</v>
      </c>
      <c r="R27" s="59" t="s">
        <v>37</v>
      </c>
      <c r="S27" s="19"/>
    </row>
    <row r="28" spans="1:19" ht="27.95" customHeight="1">
      <c r="A28" s="7" t="str">
        <f t="shared" si="4"/>
        <v>PRINT</v>
      </c>
      <c r="B28" s="15">
        <f t="shared" si="5"/>
        <v>14</v>
      </c>
      <c r="C28" s="16" t="s">
        <v>127</v>
      </c>
      <c r="D28" s="19" t="str">
        <f t="shared" si="6"/>
        <v>01ERC3012-007</v>
      </c>
      <c r="E28" s="19" t="str">
        <f t="shared" si="7"/>
        <v>ERC3012</v>
      </c>
      <c r="F28" s="16" t="s">
        <v>161</v>
      </c>
      <c r="G28" s="16" t="s">
        <v>67</v>
      </c>
      <c r="H28" s="17">
        <v>750</v>
      </c>
      <c r="I28" s="16" t="s">
        <v>34</v>
      </c>
      <c r="J28" s="16">
        <v>1</v>
      </c>
      <c r="K28" s="18">
        <v>56.47</v>
      </c>
      <c r="L28" s="18">
        <v>56.47</v>
      </c>
      <c r="M28" s="59"/>
      <c r="N28" s="59"/>
      <c r="O28" s="18" t="s">
        <v>177</v>
      </c>
      <c r="P28" s="63" t="s">
        <v>32</v>
      </c>
      <c r="Q28" s="59" t="s">
        <v>33</v>
      </c>
      <c r="R28" s="59" t="s">
        <v>37</v>
      </c>
      <c r="S28" s="19"/>
    </row>
    <row r="29" spans="1:19" ht="27.95" customHeight="1">
      <c r="A29" s="7" t="str">
        <f t="shared" si="4"/>
        <v>PRINT</v>
      </c>
      <c r="B29" s="15">
        <f t="shared" si="5"/>
        <v>15</v>
      </c>
      <c r="C29" s="16" t="s">
        <v>128</v>
      </c>
      <c r="D29" s="19" t="str">
        <f t="shared" si="6"/>
        <v>01ERC3012-003</v>
      </c>
      <c r="E29" s="19" t="str">
        <f t="shared" si="7"/>
        <v>ERC3012</v>
      </c>
      <c r="F29" s="16" t="s">
        <v>161</v>
      </c>
      <c r="G29" s="16" t="s">
        <v>67</v>
      </c>
      <c r="H29" s="17">
        <v>750</v>
      </c>
      <c r="I29" s="16" t="s">
        <v>34</v>
      </c>
      <c r="J29" s="16">
        <v>1</v>
      </c>
      <c r="K29" s="18">
        <v>56.47</v>
      </c>
      <c r="L29" s="18">
        <v>56.47</v>
      </c>
      <c r="M29" s="59"/>
      <c r="N29" s="59"/>
      <c r="O29" s="18" t="s">
        <v>178</v>
      </c>
      <c r="P29" s="63" t="s">
        <v>32</v>
      </c>
      <c r="Q29" s="59" t="s">
        <v>33</v>
      </c>
      <c r="R29" s="59" t="s">
        <v>37</v>
      </c>
      <c r="S29" s="19"/>
    </row>
    <row r="30" spans="1:19" ht="27.95" customHeight="1">
      <c r="A30" s="7" t="str">
        <f t="shared" si="4"/>
        <v>PRINT</v>
      </c>
      <c r="B30" s="15">
        <f t="shared" si="5"/>
        <v>16</v>
      </c>
      <c r="C30" s="16" t="s">
        <v>129</v>
      </c>
      <c r="D30" s="19" t="str">
        <f t="shared" si="6"/>
        <v>01ERC3012-006</v>
      </c>
      <c r="E30" s="19" t="str">
        <f t="shared" si="7"/>
        <v>ERC3012</v>
      </c>
      <c r="F30" s="16" t="s">
        <v>161</v>
      </c>
      <c r="G30" s="16" t="s">
        <v>67</v>
      </c>
      <c r="H30" s="17">
        <v>750</v>
      </c>
      <c r="I30" s="16" t="s">
        <v>34</v>
      </c>
      <c r="J30" s="16">
        <v>1</v>
      </c>
      <c r="K30" s="18">
        <v>56.47</v>
      </c>
      <c r="L30" s="18">
        <v>56.47</v>
      </c>
      <c r="M30" s="59"/>
      <c r="N30" s="59"/>
      <c r="O30" s="18" t="s">
        <v>179</v>
      </c>
      <c r="P30" s="63" t="s">
        <v>32</v>
      </c>
      <c r="Q30" s="59" t="s">
        <v>33</v>
      </c>
      <c r="R30" s="59" t="s">
        <v>37</v>
      </c>
      <c r="S30" s="19"/>
    </row>
    <row r="31" spans="1:19" ht="27.95" customHeight="1">
      <c r="A31" s="7" t="str">
        <f t="shared" si="4"/>
        <v>PRINT</v>
      </c>
      <c r="B31" s="15">
        <f t="shared" si="5"/>
        <v>17</v>
      </c>
      <c r="C31" s="16" t="s">
        <v>130</v>
      </c>
      <c r="D31" s="19" t="str">
        <f t="shared" si="6"/>
        <v>01ERC3012-011</v>
      </c>
      <c r="E31" s="19" t="str">
        <f t="shared" si="7"/>
        <v>ERC3012</v>
      </c>
      <c r="F31" s="16" t="s">
        <v>161</v>
      </c>
      <c r="G31" s="16" t="s">
        <v>67</v>
      </c>
      <c r="H31" s="17">
        <v>750</v>
      </c>
      <c r="I31" s="16" t="s">
        <v>34</v>
      </c>
      <c r="J31" s="16">
        <v>1</v>
      </c>
      <c r="K31" s="18">
        <v>56.47</v>
      </c>
      <c r="L31" s="18">
        <v>56.47</v>
      </c>
      <c r="M31" s="18"/>
      <c r="N31" s="18"/>
      <c r="O31" s="18" t="s">
        <v>180</v>
      </c>
      <c r="P31" s="63" t="s">
        <v>32</v>
      </c>
      <c r="Q31" s="59" t="s">
        <v>33</v>
      </c>
      <c r="R31" s="59" t="s">
        <v>37</v>
      </c>
      <c r="S31" s="19"/>
    </row>
    <row r="32" spans="1:19" ht="27.95" customHeight="1">
      <c r="A32" s="7" t="str">
        <f t="shared" si="4"/>
        <v>PRINT</v>
      </c>
      <c r="B32" s="15">
        <f t="shared" si="5"/>
        <v>18</v>
      </c>
      <c r="C32" s="16" t="s">
        <v>131</v>
      </c>
      <c r="D32" s="19" t="str">
        <f t="shared" ref="D32:D72" si="8">MID(C32,3,13)</f>
        <v>01ERC3012-005</v>
      </c>
      <c r="E32" s="19" t="str">
        <f t="shared" si="7"/>
        <v>ERC3012</v>
      </c>
      <c r="F32" s="16" t="s">
        <v>161</v>
      </c>
      <c r="G32" s="16" t="s">
        <v>67</v>
      </c>
      <c r="H32" s="17">
        <v>750</v>
      </c>
      <c r="I32" s="16" t="s">
        <v>34</v>
      </c>
      <c r="J32" s="16">
        <v>1</v>
      </c>
      <c r="K32" s="18">
        <v>56.47</v>
      </c>
      <c r="L32" s="18">
        <v>56.47</v>
      </c>
      <c r="M32" s="18"/>
      <c r="N32" s="18"/>
      <c r="O32" s="18" t="s">
        <v>181</v>
      </c>
      <c r="P32" s="63" t="s">
        <v>32</v>
      </c>
      <c r="Q32" s="59" t="s">
        <v>33</v>
      </c>
      <c r="R32" s="59" t="s">
        <v>37</v>
      </c>
      <c r="S32" s="19"/>
    </row>
    <row r="33" spans="1:19" ht="27.95" customHeight="1">
      <c r="A33" s="7" t="str">
        <f t="shared" si="4"/>
        <v>PRINT</v>
      </c>
      <c r="B33" s="15">
        <f t="shared" si="5"/>
        <v>19</v>
      </c>
      <c r="C33" s="16" t="s">
        <v>132</v>
      </c>
      <c r="D33" s="19" t="str">
        <f t="shared" si="8"/>
        <v>01ERC3003-002</v>
      </c>
      <c r="E33" s="19" t="str">
        <f t="shared" si="7"/>
        <v>ERC3003</v>
      </c>
      <c r="F33" s="16" t="s">
        <v>160</v>
      </c>
      <c r="G33" s="16" t="s">
        <v>67</v>
      </c>
      <c r="H33" s="17">
        <v>3250</v>
      </c>
      <c r="I33" s="16" t="s">
        <v>34</v>
      </c>
      <c r="J33" s="16">
        <v>1</v>
      </c>
      <c r="K33" s="18">
        <v>109.06</v>
      </c>
      <c r="L33" s="18">
        <v>109.06</v>
      </c>
      <c r="M33" s="18"/>
      <c r="N33" s="18"/>
      <c r="O33" s="18" t="s">
        <v>182</v>
      </c>
      <c r="P33" s="63" t="s">
        <v>32</v>
      </c>
      <c r="Q33" s="59" t="s">
        <v>33</v>
      </c>
      <c r="R33" s="59" t="s">
        <v>37</v>
      </c>
      <c r="S33" s="19"/>
    </row>
    <row r="34" spans="1:19" ht="27.95" customHeight="1">
      <c r="A34" s="7" t="str">
        <f t="shared" si="4"/>
        <v>PRINT</v>
      </c>
      <c r="B34" s="15">
        <f t="shared" si="5"/>
        <v>20</v>
      </c>
      <c r="C34" s="16" t="s">
        <v>133</v>
      </c>
      <c r="D34" s="19" t="str">
        <f t="shared" si="8"/>
        <v>01ERC3003-001</v>
      </c>
      <c r="E34" s="19" t="str">
        <f t="shared" si="7"/>
        <v>ERC3003</v>
      </c>
      <c r="F34" s="16" t="s">
        <v>160</v>
      </c>
      <c r="G34" s="16" t="s">
        <v>67</v>
      </c>
      <c r="H34" s="17">
        <v>3250</v>
      </c>
      <c r="I34" s="16" t="s">
        <v>34</v>
      </c>
      <c r="J34" s="16">
        <v>1</v>
      </c>
      <c r="K34" s="18">
        <v>109.06</v>
      </c>
      <c r="L34" s="18">
        <v>109.06</v>
      </c>
      <c r="M34" s="18"/>
      <c r="N34" s="18"/>
      <c r="O34" s="18" t="s">
        <v>183</v>
      </c>
      <c r="P34" s="63" t="s">
        <v>32</v>
      </c>
      <c r="Q34" s="59" t="s">
        <v>33</v>
      </c>
      <c r="R34" s="59" t="s">
        <v>37</v>
      </c>
      <c r="S34" s="19"/>
    </row>
    <row r="35" spans="1:19" ht="27.95" customHeight="1">
      <c r="A35" s="7" t="str">
        <f t="shared" si="4"/>
        <v>PRINT</v>
      </c>
      <c r="B35" s="15">
        <f t="shared" si="5"/>
        <v>21</v>
      </c>
      <c r="C35" s="16" t="s">
        <v>134</v>
      </c>
      <c r="D35" s="19" t="str">
        <f t="shared" si="8"/>
        <v>01ERC3003-004</v>
      </c>
      <c r="E35" s="19" t="str">
        <f t="shared" si="7"/>
        <v>ERC3003</v>
      </c>
      <c r="F35" s="16" t="s">
        <v>160</v>
      </c>
      <c r="G35" s="16" t="s">
        <v>67</v>
      </c>
      <c r="H35" s="17">
        <v>3250</v>
      </c>
      <c r="I35" s="16" t="s">
        <v>34</v>
      </c>
      <c r="J35" s="16">
        <v>1</v>
      </c>
      <c r="K35" s="18">
        <v>109.06</v>
      </c>
      <c r="L35" s="18">
        <v>109.06</v>
      </c>
      <c r="M35" s="18"/>
      <c r="N35" s="18"/>
      <c r="O35" s="18" t="s">
        <v>184</v>
      </c>
      <c r="P35" s="63" t="s">
        <v>32</v>
      </c>
      <c r="Q35" s="59" t="s">
        <v>33</v>
      </c>
      <c r="R35" s="59" t="s">
        <v>37</v>
      </c>
      <c r="S35" s="19"/>
    </row>
    <row r="36" spans="1:19" ht="27.95" customHeight="1">
      <c r="A36" s="7" t="str">
        <f t="shared" si="4"/>
        <v>PRINT</v>
      </c>
      <c r="B36" s="15">
        <f t="shared" si="5"/>
        <v>22</v>
      </c>
      <c r="C36" s="16" t="s">
        <v>135</v>
      </c>
      <c r="D36" s="19" t="str">
        <f t="shared" si="8"/>
        <v>01ERC3003-003</v>
      </c>
      <c r="E36" s="19" t="str">
        <f t="shared" si="7"/>
        <v>ERC3003</v>
      </c>
      <c r="F36" s="16" t="s">
        <v>160</v>
      </c>
      <c r="G36" s="16" t="s">
        <v>67</v>
      </c>
      <c r="H36" s="17">
        <v>3250</v>
      </c>
      <c r="I36" s="16" t="s">
        <v>34</v>
      </c>
      <c r="J36" s="16">
        <v>1</v>
      </c>
      <c r="K36" s="18">
        <v>109.06</v>
      </c>
      <c r="L36" s="18">
        <v>109.06</v>
      </c>
      <c r="M36" s="18"/>
      <c r="N36" s="18"/>
      <c r="O36" s="18" t="s">
        <v>185</v>
      </c>
      <c r="P36" s="63" t="s">
        <v>32</v>
      </c>
      <c r="Q36" s="59" t="s">
        <v>33</v>
      </c>
      <c r="R36" s="59" t="s">
        <v>37</v>
      </c>
      <c r="S36" s="19"/>
    </row>
    <row r="37" spans="1:19" ht="27.95" customHeight="1">
      <c r="A37" s="7" t="str">
        <f t="shared" si="4"/>
        <v>PRINT</v>
      </c>
      <c r="B37" s="15">
        <f t="shared" si="5"/>
        <v>23</v>
      </c>
      <c r="C37" s="16" t="s">
        <v>136</v>
      </c>
      <c r="D37" s="19" t="str">
        <f t="shared" si="8"/>
        <v>01ERC3004-002</v>
      </c>
      <c r="E37" s="19" t="str">
        <f t="shared" si="7"/>
        <v>ERC3004</v>
      </c>
      <c r="F37" s="16" t="s">
        <v>160</v>
      </c>
      <c r="G37" s="16" t="s">
        <v>67</v>
      </c>
      <c r="H37" s="17">
        <v>3250</v>
      </c>
      <c r="I37" s="16" t="s">
        <v>34</v>
      </c>
      <c r="J37" s="16">
        <v>1</v>
      </c>
      <c r="K37" s="18">
        <v>109.32</v>
      </c>
      <c r="L37" s="18">
        <v>109.32</v>
      </c>
      <c r="M37" s="18"/>
      <c r="N37" s="18"/>
      <c r="O37" s="18" t="s">
        <v>186</v>
      </c>
      <c r="P37" s="63" t="s">
        <v>32</v>
      </c>
      <c r="Q37" s="59" t="s">
        <v>33</v>
      </c>
      <c r="R37" s="59" t="s">
        <v>37</v>
      </c>
      <c r="S37" s="19"/>
    </row>
    <row r="38" spans="1:19" ht="27.95" customHeight="1">
      <c r="A38" s="7" t="str">
        <f t="shared" si="4"/>
        <v>PRINT</v>
      </c>
      <c r="B38" s="15">
        <f t="shared" si="5"/>
        <v>24</v>
      </c>
      <c r="C38" s="16" t="s">
        <v>137</v>
      </c>
      <c r="D38" s="19" t="str">
        <f t="shared" si="8"/>
        <v>01ERC3004-001</v>
      </c>
      <c r="E38" s="19" t="str">
        <f t="shared" si="7"/>
        <v>ERC3004</v>
      </c>
      <c r="F38" s="16" t="s">
        <v>160</v>
      </c>
      <c r="G38" s="16" t="s">
        <v>67</v>
      </c>
      <c r="H38" s="17">
        <v>3250</v>
      </c>
      <c r="I38" s="16" t="s">
        <v>34</v>
      </c>
      <c r="J38" s="16">
        <v>1</v>
      </c>
      <c r="K38" s="18">
        <v>109.32</v>
      </c>
      <c r="L38" s="18">
        <v>109.32</v>
      </c>
      <c r="M38" s="18"/>
      <c r="N38" s="18"/>
      <c r="O38" s="18" t="s">
        <v>187</v>
      </c>
      <c r="P38" s="63" t="s">
        <v>32</v>
      </c>
      <c r="Q38" s="59" t="s">
        <v>33</v>
      </c>
      <c r="R38" s="59" t="s">
        <v>37</v>
      </c>
      <c r="S38" s="19"/>
    </row>
    <row r="39" spans="1:19" ht="27.95" customHeight="1">
      <c r="A39" s="7" t="str">
        <f t="shared" si="4"/>
        <v>PRINT</v>
      </c>
      <c r="B39" s="15">
        <f t="shared" si="5"/>
        <v>25</v>
      </c>
      <c r="C39" s="16" t="s">
        <v>138</v>
      </c>
      <c r="D39" s="19" t="str">
        <f t="shared" si="8"/>
        <v>01ERC3005-003</v>
      </c>
      <c r="E39" s="19" t="str">
        <f t="shared" si="7"/>
        <v>ERC3005</v>
      </c>
      <c r="F39" s="16" t="s">
        <v>160</v>
      </c>
      <c r="G39" s="16" t="s">
        <v>67</v>
      </c>
      <c r="H39" s="17">
        <v>2890</v>
      </c>
      <c r="I39" s="16" t="s">
        <v>34</v>
      </c>
      <c r="J39" s="16">
        <v>1</v>
      </c>
      <c r="K39" s="18">
        <v>101.52</v>
      </c>
      <c r="L39" s="18">
        <v>101.52</v>
      </c>
      <c r="M39" s="18"/>
      <c r="N39" s="18"/>
      <c r="O39" s="18" t="s">
        <v>188</v>
      </c>
      <c r="P39" s="63" t="s">
        <v>32</v>
      </c>
      <c r="Q39" s="59" t="s">
        <v>33</v>
      </c>
      <c r="R39" s="59" t="s">
        <v>37</v>
      </c>
      <c r="S39" s="19"/>
    </row>
    <row r="40" spans="1:19" ht="27.95" customHeight="1">
      <c r="A40" s="7" t="str">
        <f t="shared" si="4"/>
        <v>PRINT</v>
      </c>
      <c r="B40" s="15">
        <f t="shared" si="5"/>
        <v>26</v>
      </c>
      <c r="C40" s="16" t="s">
        <v>139</v>
      </c>
      <c r="D40" s="19" t="str">
        <f t="shared" si="8"/>
        <v>01ERC3005-002</v>
      </c>
      <c r="E40" s="19" t="str">
        <f t="shared" si="7"/>
        <v>ERC3005</v>
      </c>
      <c r="F40" s="16" t="s">
        <v>160</v>
      </c>
      <c r="G40" s="16" t="s">
        <v>67</v>
      </c>
      <c r="H40" s="17">
        <v>2890</v>
      </c>
      <c r="I40" s="16" t="s">
        <v>34</v>
      </c>
      <c r="J40" s="16">
        <v>1</v>
      </c>
      <c r="K40" s="18">
        <v>101.52</v>
      </c>
      <c r="L40" s="18">
        <v>101.52</v>
      </c>
      <c r="M40" s="18"/>
      <c r="N40" s="18"/>
      <c r="O40" s="18" t="s">
        <v>189</v>
      </c>
      <c r="P40" s="63" t="s">
        <v>32</v>
      </c>
      <c r="Q40" s="59" t="s">
        <v>33</v>
      </c>
      <c r="R40" s="59" t="s">
        <v>37</v>
      </c>
      <c r="S40" s="19"/>
    </row>
    <row r="41" spans="1:19" ht="27.95" customHeight="1">
      <c r="A41" s="7" t="str">
        <f t="shared" si="4"/>
        <v>PRINT</v>
      </c>
      <c r="B41" s="15">
        <f t="shared" si="5"/>
        <v>27</v>
      </c>
      <c r="C41" s="16" t="s">
        <v>140</v>
      </c>
      <c r="D41" s="19" t="str">
        <f t="shared" si="8"/>
        <v>01ERC3005-001</v>
      </c>
      <c r="E41" s="19" t="str">
        <f t="shared" si="7"/>
        <v>ERC3005</v>
      </c>
      <c r="F41" s="16" t="s">
        <v>160</v>
      </c>
      <c r="G41" s="16" t="s">
        <v>67</v>
      </c>
      <c r="H41" s="17">
        <v>2890</v>
      </c>
      <c r="I41" s="16" t="s">
        <v>34</v>
      </c>
      <c r="J41" s="16">
        <v>1</v>
      </c>
      <c r="K41" s="18">
        <v>101.52</v>
      </c>
      <c r="L41" s="18">
        <v>101.52</v>
      </c>
      <c r="M41" s="18"/>
      <c r="N41" s="18"/>
      <c r="O41" s="18" t="s">
        <v>190</v>
      </c>
      <c r="P41" s="63" t="s">
        <v>32</v>
      </c>
      <c r="Q41" s="59" t="s">
        <v>33</v>
      </c>
      <c r="R41" s="59" t="s">
        <v>37</v>
      </c>
      <c r="S41" s="19"/>
    </row>
    <row r="42" spans="1:19" ht="27.95" customHeight="1">
      <c r="A42" s="7" t="str">
        <f t="shared" si="4"/>
        <v>PRINT</v>
      </c>
      <c r="B42" s="15">
        <f t="shared" si="5"/>
        <v>28</v>
      </c>
      <c r="C42" s="16" t="s">
        <v>141</v>
      </c>
      <c r="D42" s="19" t="str">
        <f t="shared" si="8"/>
        <v>01ERC3005-004</v>
      </c>
      <c r="E42" s="19" t="str">
        <f t="shared" si="7"/>
        <v>ERC3005</v>
      </c>
      <c r="F42" s="16" t="s">
        <v>160</v>
      </c>
      <c r="G42" s="16" t="s">
        <v>67</v>
      </c>
      <c r="H42" s="17">
        <v>2890</v>
      </c>
      <c r="I42" s="16" t="s">
        <v>34</v>
      </c>
      <c r="J42" s="16">
        <v>1</v>
      </c>
      <c r="K42" s="18">
        <v>101.52</v>
      </c>
      <c r="L42" s="18">
        <v>101.52</v>
      </c>
      <c r="M42" s="18"/>
      <c r="N42" s="18"/>
      <c r="O42" s="18" t="s">
        <v>191</v>
      </c>
      <c r="P42" s="63" t="s">
        <v>32</v>
      </c>
      <c r="Q42" s="59" t="s">
        <v>33</v>
      </c>
      <c r="R42" s="59" t="s">
        <v>37</v>
      </c>
      <c r="S42" s="19"/>
    </row>
    <row r="43" spans="1:19" ht="27.95" customHeight="1">
      <c r="A43" s="7" t="str">
        <f t="shared" si="4"/>
        <v>PRINT</v>
      </c>
      <c r="B43" s="15">
        <f t="shared" si="5"/>
        <v>29</v>
      </c>
      <c r="C43" s="16" t="s">
        <v>142</v>
      </c>
      <c r="D43" s="19" t="str">
        <f t="shared" si="8"/>
        <v>01ERC3006-001</v>
      </c>
      <c r="E43" s="19" t="str">
        <f t="shared" si="7"/>
        <v>ERC3006</v>
      </c>
      <c r="F43" s="16" t="s">
        <v>160</v>
      </c>
      <c r="G43" s="16" t="s">
        <v>67</v>
      </c>
      <c r="H43" s="17">
        <v>2890</v>
      </c>
      <c r="I43" s="16" t="s">
        <v>34</v>
      </c>
      <c r="J43" s="16">
        <v>1</v>
      </c>
      <c r="K43" s="18">
        <v>101.79</v>
      </c>
      <c r="L43" s="18">
        <v>101.79</v>
      </c>
      <c r="M43" s="18"/>
      <c r="N43" s="18"/>
      <c r="O43" s="18" t="s">
        <v>192</v>
      </c>
      <c r="P43" s="63" t="s">
        <v>32</v>
      </c>
      <c r="Q43" s="59" t="s">
        <v>33</v>
      </c>
      <c r="R43" s="59" t="s">
        <v>37</v>
      </c>
      <c r="S43" s="19"/>
    </row>
    <row r="44" spans="1:19" ht="27.95" customHeight="1">
      <c r="A44" s="7" t="str">
        <f t="shared" si="4"/>
        <v>PRINT</v>
      </c>
      <c r="B44" s="15">
        <f t="shared" si="5"/>
        <v>30</v>
      </c>
      <c r="C44" s="16" t="s">
        <v>143</v>
      </c>
      <c r="D44" s="19" t="str">
        <f t="shared" si="8"/>
        <v>01ERC3006-002</v>
      </c>
      <c r="E44" s="19" t="str">
        <f t="shared" si="7"/>
        <v>ERC3006</v>
      </c>
      <c r="F44" s="16" t="s">
        <v>160</v>
      </c>
      <c r="G44" s="16" t="s">
        <v>67</v>
      </c>
      <c r="H44" s="17">
        <v>2890</v>
      </c>
      <c r="I44" s="16" t="s">
        <v>34</v>
      </c>
      <c r="J44" s="16">
        <v>1</v>
      </c>
      <c r="K44" s="18">
        <v>101.79</v>
      </c>
      <c r="L44" s="18">
        <v>101.79</v>
      </c>
      <c r="M44" s="18"/>
      <c r="N44" s="18"/>
      <c r="O44" s="18" t="s">
        <v>193</v>
      </c>
      <c r="P44" s="63" t="s">
        <v>32</v>
      </c>
      <c r="Q44" s="59" t="s">
        <v>33</v>
      </c>
      <c r="R44" s="59" t="s">
        <v>37</v>
      </c>
      <c r="S44" s="19"/>
    </row>
    <row r="45" spans="1:19" ht="27.95" customHeight="1">
      <c r="A45" s="7" t="str">
        <f t="shared" si="4"/>
        <v>PRINT</v>
      </c>
      <c r="B45" s="15">
        <f t="shared" si="5"/>
        <v>31</v>
      </c>
      <c r="C45" s="16" t="s">
        <v>144</v>
      </c>
      <c r="D45" s="19" t="str">
        <f t="shared" si="8"/>
        <v>01ERC3007-003</v>
      </c>
      <c r="E45" s="19" t="str">
        <f t="shared" si="7"/>
        <v>ERC3007</v>
      </c>
      <c r="F45" s="16" t="s">
        <v>160</v>
      </c>
      <c r="G45" s="16" t="s">
        <v>67</v>
      </c>
      <c r="H45" s="17">
        <v>2450</v>
      </c>
      <c r="I45" s="16" t="s">
        <v>34</v>
      </c>
      <c r="J45" s="16">
        <v>1</v>
      </c>
      <c r="K45" s="18">
        <v>92.31</v>
      </c>
      <c r="L45" s="18">
        <v>92.31</v>
      </c>
      <c r="M45" s="18"/>
      <c r="N45" s="18"/>
      <c r="O45" s="18" t="s">
        <v>194</v>
      </c>
      <c r="P45" s="63" t="s">
        <v>32</v>
      </c>
      <c r="Q45" s="59" t="s">
        <v>33</v>
      </c>
      <c r="R45" s="59" t="s">
        <v>37</v>
      </c>
      <c r="S45" s="19"/>
    </row>
    <row r="46" spans="1:19" ht="27.95" customHeight="1">
      <c r="A46" s="7" t="str">
        <f t="shared" si="4"/>
        <v>PRINT</v>
      </c>
      <c r="B46" s="15">
        <f t="shared" si="5"/>
        <v>32</v>
      </c>
      <c r="C46" s="16" t="s">
        <v>145</v>
      </c>
      <c r="D46" s="19" t="str">
        <f t="shared" si="8"/>
        <v>01ERC3007-002</v>
      </c>
      <c r="E46" s="19" t="str">
        <f t="shared" si="7"/>
        <v>ERC3007</v>
      </c>
      <c r="F46" s="16" t="s">
        <v>160</v>
      </c>
      <c r="G46" s="16" t="s">
        <v>67</v>
      </c>
      <c r="H46" s="17">
        <v>2450</v>
      </c>
      <c r="I46" s="16" t="s">
        <v>34</v>
      </c>
      <c r="J46" s="16">
        <v>1</v>
      </c>
      <c r="K46" s="18">
        <v>92.31</v>
      </c>
      <c r="L46" s="18">
        <v>92.31</v>
      </c>
      <c r="M46" s="18"/>
      <c r="N46" s="18"/>
      <c r="O46" s="18" t="s">
        <v>195</v>
      </c>
      <c r="P46" s="63" t="s">
        <v>32</v>
      </c>
      <c r="Q46" s="59" t="s">
        <v>33</v>
      </c>
      <c r="R46" s="59" t="s">
        <v>37</v>
      </c>
      <c r="S46" s="19"/>
    </row>
    <row r="47" spans="1:19" ht="27.95" customHeight="1">
      <c r="A47" s="7" t="str">
        <f t="shared" si="4"/>
        <v>PRINT</v>
      </c>
      <c r="B47" s="15">
        <f t="shared" si="5"/>
        <v>33</v>
      </c>
      <c r="C47" s="16" t="s">
        <v>146</v>
      </c>
      <c r="D47" s="19" t="str">
        <f t="shared" si="8"/>
        <v>01ERC3007-001</v>
      </c>
      <c r="E47" s="19" t="str">
        <f t="shared" si="7"/>
        <v>ERC3007</v>
      </c>
      <c r="F47" s="16" t="s">
        <v>160</v>
      </c>
      <c r="G47" s="16" t="s">
        <v>67</v>
      </c>
      <c r="H47" s="17">
        <v>2450</v>
      </c>
      <c r="I47" s="16" t="s">
        <v>34</v>
      </c>
      <c r="J47" s="16">
        <v>1</v>
      </c>
      <c r="K47" s="18">
        <v>92.31</v>
      </c>
      <c r="L47" s="18">
        <v>92.31</v>
      </c>
      <c r="M47" s="18"/>
      <c r="N47" s="18"/>
      <c r="O47" s="18" t="s">
        <v>196</v>
      </c>
      <c r="P47" s="63" t="s">
        <v>32</v>
      </c>
      <c r="Q47" s="59" t="s">
        <v>33</v>
      </c>
      <c r="R47" s="59" t="s">
        <v>37</v>
      </c>
      <c r="S47" s="19"/>
    </row>
    <row r="48" spans="1:19" ht="27.95" customHeight="1">
      <c r="A48" s="7" t="str">
        <f t="shared" si="4"/>
        <v>PRINT</v>
      </c>
      <c r="B48" s="15">
        <f t="shared" si="5"/>
        <v>34</v>
      </c>
      <c r="C48" s="16" t="s">
        <v>147</v>
      </c>
      <c r="D48" s="19" t="str">
        <f t="shared" si="8"/>
        <v>01ERC3007-004</v>
      </c>
      <c r="E48" s="19" t="str">
        <f t="shared" si="7"/>
        <v>ERC3007</v>
      </c>
      <c r="F48" s="16" t="s">
        <v>160</v>
      </c>
      <c r="G48" s="16" t="s">
        <v>67</v>
      </c>
      <c r="H48" s="17">
        <v>2450</v>
      </c>
      <c r="I48" s="16" t="s">
        <v>34</v>
      </c>
      <c r="J48" s="16">
        <v>1</v>
      </c>
      <c r="K48" s="18">
        <v>92.31</v>
      </c>
      <c r="L48" s="18">
        <v>92.31</v>
      </c>
      <c r="M48" s="18"/>
      <c r="N48" s="18"/>
      <c r="O48" s="18" t="s">
        <v>197</v>
      </c>
      <c r="P48" s="63" t="s">
        <v>32</v>
      </c>
      <c r="Q48" s="59" t="s">
        <v>33</v>
      </c>
      <c r="R48" s="59" t="s">
        <v>37</v>
      </c>
      <c r="S48" s="19"/>
    </row>
    <row r="49" spans="1:19" ht="27.95" customHeight="1">
      <c r="A49" s="7" t="str">
        <f t="shared" si="4"/>
        <v>PRINT</v>
      </c>
      <c r="B49" s="15">
        <f t="shared" si="5"/>
        <v>35</v>
      </c>
      <c r="C49" s="16" t="s">
        <v>148</v>
      </c>
      <c r="D49" s="19" t="str">
        <f t="shared" si="8"/>
        <v>01ERC3008-001</v>
      </c>
      <c r="E49" s="19" t="str">
        <f t="shared" si="7"/>
        <v>ERC3008</v>
      </c>
      <c r="F49" s="16" t="s">
        <v>160</v>
      </c>
      <c r="G49" s="16" t="s">
        <v>67</v>
      </c>
      <c r="H49" s="17">
        <v>2450</v>
      </c>
      <c r="I49" s="16" t="s">
        <v>34</v>
      </c>
      <c r="J49" s="16">
        <v>1</v>
      </c>
      <c r="K49" s="18">
        <v>92.58</v>
      </c>
      <c r="L49" s="18">
        <v>92.58</v>
      </c>
      <c r="M49" s="18"/>
      <c r="N49" s="18"/>
      <c r="O49" s="18" t="s">
        <v>198</v>
      </c>
      <c r="P49" s="63" t="s">
        <v>32</v>
      </c>
      <c r="Q49" s="59" t="s">
        <v>33</v>
      </c>
      <c r="R49" s="59" t="s">
        <v>37</v>
      </c>
      <c r="S49" s="19"/>
    </row>
    <row r="50" spans="1:19" ht="27.95" customHeight="1">
      <c r="A50" s="7" t="str">
        <f t="shared" si="4"/>
        <v>PRINT</v>
      </c>
      <c r="B50" s="15">
        <f t="shared" si="5"/>
        <v>36</v>
      </c>
      <c r="C50" s="16" t="s">
        <v>149</v>
      </c>
      <c r="D50" s="19" t="str">
        <f t="shared" si="8"/>
        <v>01ERC3008-002</v>
      </c>
      <c r="E50" s="19" t="str">
        <f t="shared" si="7"/>
        <v>ERC3008</v>
      </c>
      <c r="F50" s="16" t="s">
        <v>160</v>
      </c>
      <c r="G50" s="16" t="s">
        <v>67</v>
      </c>
      <c r="H50" s="17">
        <v>2450</v>
      </c>
      <c r="I50" s="16" t="s">
        <v>34</v>
      </c>
      <c r="J50" s="16">
        <v>1</v>
      </c>
      <c r="K50" s="18">
        <v>92.58</v>
      </c>
      <c r="L50" s="18">
        <v>92.58</v>
      </c>
      <c r="M50" s="18"/>
      <c r="N50" s="18"/>
      <c r="O50" s="18" t="s">
        <v>199</v>
      </c>
      <c r="P50" s="63" t="s">
        <v>32</v>
      </c>
      <c r="Q50" s="59" t="s">
        <v>33</v>
      </c>
      <c r="R50" s="59" t="s">
        <v>37</v>
      </c>
      <c r="S50" s="19"/>
    </row>
    <row r="51" spans="1:19" ht="27.95" customHeight="1">
      <c r="A51" s="7" t="str">
        <f t="shared" si="4"/>
        <v>PRINT</v>
      </c>
      <c r="B51" s="15">
        <f t="shared" si="5"/>
        <v>37</v>
      </c>
      <c r="C51" s="16" t="s">
        <v>150</v>
      </c>
      <c r="D51" s="19" t="str">
        <f t="shared" si="8"/>
        <v>01ERC3009-003</v>
      </c>
      <c r="E51" s="19" t="str">
        <f t="shared" si="7"/>
        <v>ERC3009</v>
      </c>
      <c r="F51" s="16" t="s">
        <v>160</v>
      </c>
      <c r="G51" s="16" t="s">
        <v>67</v>
      </c>
      <c r="H51" s="17">
        <v>1890</v>
      </c>
      <c r="I51" s="16" t="s">
        <v>34</v>
      </c>
      <c r="J51" s="16">
        <v>1</v>
      </c>
      <c r="K51" s="18">
        <v>80.59</v>
      </c>
      <c r="L51" s="18">
        <v>80.59</v>
      </c>
      <c r="M51" s="18"/>
      <c r="N51" s="18"/>
      <c r="O51" s="18" t="s">
        <v>200</v>
      </c>
      <c r="P51" s="63" t="s">
        <v>32</v>
      </c>
      <c r="Q51" s="59" t="s">
        <v>33</v>
      </c>
      <c r="R51" s="59" t="s">
        <v>37</v>
      </c>
      <c r="S51" s="19"/>
    </row>
    <row r="52" spans="1:19" ht="27.95" customHeight="1">
      <c r="A52" s="7" t="str">
        <f t="shared" si="4"/>
        <v>PRINT</v>
      </c>
      <c r="B52" s="15">
        <f t="shared" si="5"/>
        <v>38</v>
      </c>
      <c r="C52" s="16" t="s">
        <v>151</v>
      </c>
      <c r="D52" s="19" t="str">
        <f t="shared" si="8"/>
        <v>01ERC3009-002</v>
      </c>
      <c r="E52" s="19" t="str">
        <f t="shared" si="7"/>
        <v>ERC3009</v>
      </c>
      <c r="F52" s="16" t="s">
        <v>160</v>
      </c>
      <c r="G52" s="16" t="s">
        <v>67</v>
      </c>
      <c r="H52" s="17">
        <v>1890</v>
      </c>
      <c r="I52" s="16" t="s">
        <v>34</v>
      </c>
      <c r="J52" s="16">
        <v>1</v>
      </c>
      <c r="K52" s="18">
        <v>80.59</v>
      </c>
      <c r="L52" s="18">
        <v>80.59</v>
      </c>
      <c r="M52" s="18"/>
      <c r="N52" s="18"/>
      <c r="O52" s="18" t="s">
        <v>201</v>
      </c>
      <c r="P52" s="63" t="s">
        <v>32</v>
      </c>
      <c r="Q52" s="59" t="s">
        <v>33</v>
      </c>
      <c r="R52" s="59" t="s">
        <v>37</v>
      </c>
      <c r="S52" s="19"/>
    </row>
    <row r="53" spans="1:19" ht="27.95" customHeight="1">
      <c r="A53" s="7" t="str">
        <f t="shared" si="4"/>
        <v>PRINT</v>
      </c>
      <c r="B53" s="15">
        <f t="shared" si="5"/>
        <v>39</v>
      </c>
      <c r="C53" s="16" t="s">
        <v>152</v>
      </c>
      <c r="D53" s="19" t="str">
        <f t="shared" si="8"/>
        <v>01ERC3009-001</v>
      </c>
      <c r="E53" s="19" t="str">
        <f t="shared" si="7"/>
        <v>ERC3009</v>
      </c>
      <c r="F53" s="16" t="s">
        <v>160</v>
      </c>
      <c r="G53" s="16" t="s">
        <v>67</v>
      </c>
      <c r="H53" s="17">
        <v>1890</v>
      </c>
      <c r="I53" s="16" t="s">
        <v>34</v>
      </c>
      <c r="J53" s="16">
        <v>1</v>
      </c>
      <c r="K53" s="18">
        <v>80.59</v>
      </c>
      <c r="L53" s="18">
        <v>80.59</v>
      </c>
      <c r="M53" s="18"/>
      <c r="N53" s="18"/>
      <c r="O53" s="18" t="s">
        <v>202</v>
      </c>
      <c r="P53" s="63" t="s">
        <v>32</v>
      </c>
      <c r="Q53" s="59" t="s">
        <v>33</v>
      </c>
      <c r="R53" s="59" t="s">
        <v>37</v>
      </c>
      <c r="S53" s="19"/>
    </row>
    <row r="54" spans="1:19" ht="27.95" customHeight="1">
      <c r="A54" s="7" t="str">
        <f t="shared" si="4"/>
        <v>PRINT</v>
      </c>
      <c r="B54" s="15">
        <f t="shared" si="5"/>
        <v>40</v>
      </c>
      <c r="C54" s="16" t="s">
        <v>153</v>
      </c>
      <c r="D54" s="19" t="str">
        <f t="shared" si="8"/>
        <v>01ERC3009-004</v>
      </c>
      <c r="E54" s="19" t="str">
        <f t="shared" si="7"/>
        <v>ERC3009</v>
      </c>
      <c r="F54" s="16" t="s">
        <v>160</v>
      </c>
      <c r="G54" s="16" t="s">
        <v>67</v>
      </c>
      <c r="H54" s="17">
        <v>1890</v>
      </c>
      <c r="I54" s="16" t="s">
        <v>34</v>
      </c>
      <c r="J54" s="16">
        <v>1</v>
      </c>
      <c r="K54" s="18">
        <v>80.59</v>
      </c>
      <c r="L54" s="18">
        <v>80.59</v>
      </c>
      <c r="M54" s="18"/>
      <c r="N54" s="18"/>
      <c r="O54" s="18" t="s">
        <v>203</v>
      </c>
      <c r="P54" s="63" t="s">
        <v>32</v>
      </c>
      <c r="Q54" s="59" t="s">
        <v>33</v>
      </c>
      <c r="R54" s="59" t="s">
        <v>37</v>
      </c>
      <c r="S54" s="19"/>
    </row>
    <row r="55" spans="1:19" ht="27.95" customHeight="1">
      <c r="A55" s="7" t="str">
        <f t="shared" si="4"/>
        <v>PRINT</v>
      </c>
      <c r="B55" s="15">
        <f t="shared" si="5"/>
        <v>41</v>
      </c>
      <c r="C55" s="16" t="s">
        <v>154</v>
      </c>
      <c r="D55" s="19" t="str">
        <f t="shared" si="8"/>
        <v>01ERC3010-001</v>
      </c>
      <c r="E55" s="19" t="str">
        <f t="shared" si="7"/>
        <v>ERC3010</v>
      </c>
      <c r="F55" s="16" t="s">
        <v>160</v>
      </c>
      <c r="G55" s="16" t="s">
        <v>67</v>
      </c>
      <c r="H55" s="17">
        <v>1890</v>
      </c>
      <c r="I55" s="16" t="s">
        <v>34</v>
      </c>
      <c r="J55" s="16">
        <v>1</v>
      </c>
      <c r="K55" s="18">
        <v>80.849999999999994</v>
      </c>
      <c r="L55" s="18">
        <v>80.849999999999994</v>
      </c>
      <c r="M55" s="18"/>
      <c r="N55" s="18"/>
      <c r="O55" s="18" t="s">
        <v>204</v>
      </c>
      <c r="P55" s="63" t="s">
        <v>32</v>
      </c>
      <c r="Q55" s="59" t="s">
        <v>33</v>
      </c>
      <c r="R55" s="59" t="s">
        <v>37</v>
      </c>
      <c r="S55" s="19"/>
    </row>
    <row r="56" spans="1:19" ht="27.95" customHeight="1">
      <c r="A56" s="7" t="str">
        <f t="shared" si="4"/>
        <v>PRINT</v>
      </c>
      <c r="B56" s="15">
        <f t="shared" si="5"/>
        <v>42</v>
      </c>
      <c r="C56" s="16" t="s">
        <v>155</v>
      </c>
      <c r="D56" s="19" t="str">
        <f t="shared" si="8"/>
        <v>01ERC3010-002</v>
      </c>
      <c r="E56" s="19" t="str">
        <f t="shared" si="7"/>
        <v>ERC3010</v>
      </c>
      <c r="F56" s="16" t="s">
        <v>160</v>
      </c>
      <c r="G56" s="16" t="s">
        <v>67</v>
      </c>
      <c r="H56" s="17">
        <v>1890</v>
      </c>
      <c r="I56" s="16" t="s">
        <v>34</v>
      </c>
      <c r="J56" s="16">
        <v>1</v>
      </c>
      <c r="K56" s="18">
        <v>80.849999999999994</v>
      </c>
      <c r="L56" s="18">
        <v>80.849999999999994</v>
      </c>
      <c r="M56" s="18"/>
      <c r="N56" s="18"/>
      <c r="O56" s="18" t="s">
        <v>205</v>
      </c>
      <c r="P56" s="63" t="s">
        <v>32</v>
      </c>
      <c r="Q56" s="59" t="s">
        <v>33</v>
      </c>
      <c r="R56" s="59" t="s">
        <v>37</v>
      </c>
      <c r="S56" s="19"/>
    </row>
    <row r="57" spans="1:19" ht="27.95" customHeight="1">
      <c r="A57" s="7" t="str">
        <f t="shared" si="4"/>
        <v>PRINT</v>
      </c>
      <c r="B57" s="15">
        <f t="shared" si="5"/>
        <v>43</v>
      </c>
      <c r="C57" s="16" t="s">
        <v>156</v>
      </c>
      <c r="D57" s="19" t="str">
        <f t="shared" si="8"/>
        <v>01PEB3014-001</v>
      </c>
      <c r="E57" s="19" t="str">
        <f t="shared" si="7"/>
        <v>PEB3014</v>
      </c>
      <c r="F57" s="16" t="s">
        <v>112</v>
      </c>
      <c r="G57" s="16" t="s">
        <v>113</v>
      </c>
      <c r="H57" s="17">
        <v>5363</v>
      </c>
      <c r="I57" s="16" t="str">
        <f t="shared" ref="I57:I60" si="9">IF(E57="", "", "PCS")</f>
        <v>PCS</v>
      </c>
      <c r="J57" s="16">
        <f t="shared" ref="J57:J60" ca="1" si="10">IF(E57="","",RANDBETWEEN(1,1))</f>
        <v>1</v>
      </c>
      <c r="K57" s="18">
        <v>713.64</v>
      </c>
      <c r="L57" s="18">
        <f t="shared" ref="L57:L60" ca="1" si="11">IFERROR(K57*J57,"-")</f>
        <v>713.64</v>
      </c>
      <c r="M57" s="18"/>
      <c r="N57" s="18"/>
      <c r="O57" s="18" t="s">
        <v>206</v>
      </c>
      <c r="P57" s="63" t="s">
        <v>68</v>
      </c>
      <c r="Q57" s="59" t="s">
        <v>33</v>
      </c>
      <c r="R57" s="59" t="s">
        <v>37</v>
      </c>
      <c r="S57" s="19"/>
    </row>
    <row r="58" spans="1:19" ht="27.95" customHeight="1">
      <c r="A58" s="7" t="str">
        <f t="shared" si="4"/>
        <v>PRINT</v>
      </c>
      <c r="B58" s="15">
        <f t="shared" si="5"/>
        <v>44</v>
      </c>
      <c r="C58" s="16" t="s">
        <v>157</v>
      </c>
      <c r="D58" s="19" t="str">
        <f t="shared" si="8"/>
        <v>03USG3003-001</v>
      </c>
      <c r="E58" s="19" t="str">
        <f t="shared" si="7"/>
        <v>USG3003</v>
      </c>
      <c r="F58" s="16" t="s">
        <v>162</v>
      </c>
      <c r="G58" s="16" t="s">
        <v>163</v>
      </c>
      <c r="H58" s="17">
        <v>10785</v>
      </c>
      <c r="I58" s="16" t="str">
        <f t="shared" si="9"/>
        <v>PCS</v>
      </c>
      <c r="J58" s="16">
        <f t="shared" ca="1" si="10"/>
        <v>1</v>
      </c>
      <c r="K58" s="18">
        <v>1153.78</v>
      </c>
      <c r="L58" s="18">
        <f t="shared" ca="1" si="11"/>
        <v>1153.78</v>
      </c>
      <c r="M58" s="18"/>
      <c r="N58" s="18"/>
      <c r="O58" s="18" t="s">
        <v>207</v>
      </c>
      <c r="P58" s="63" t="s">
        <v>32</v>
      </c>
      <c r="Q58" s="59" t="s">
        <v>33</v>
      </c>
      <c r="R58" s="59" t="s">
        <v>37</v>
      </c>
      <c r="S58" s="19"/>
    </row>
    <row r="59" spans="1:19" ht="27.95" customHeight="1">
      <c r="A59" s="7" t="str">
        <f t="shared" si="4"/>
        <v>PRINT</v>
      </c>
      <c r="B59" s="15">
        <f t="shared" si="5"/>
        <v>45</v>
      </c>
      <c r="C59" s="16" t="s">
        <v>158</v>
      </c>
      <c r="D59" s="19" t="str">
        <f t="shared" si="8"/>
        <v>02USG3008-001</v>
      </c>
      <c r="E59" s="19" t="str">
        <f t="shared" si="7"/>
        <v>USG3008</v>
      </c>
      <c r="F59" s="16" t="s">
        <v>162</v>
      </c>
      <c r="G59" s="16" t="s">
        <v>163</v>
      </c>
      <c r="H59" s="17">
        <v>11800</v>
      </c>
      <c r="I59" s="16" t="str">
        <f t="shared" si="9"/>
        <v>PCS</v>
      </c>
      <c r="J59" s="16">
        <f t="shared" ca="1" si="10"/>
        <v>1</v>
      </c>
      <c r="K59" s="18">
        <v>992.31</v>
      </c>
      <c r="L59" s="18">
        <f t="shared" ca="1" si="11"/>
        <v>992.31</v>
      </c>
      <c r="M59" s="18"/>
      <c r="N59" s="18"/>
      <c r="O59" s="18"/>
      <c r="P59" s="63" t="s">
        <v>32</v>
      </c>
      <c r="Q59" s="59" t="s">
        <v>33</v>
      </c>
      <c r="R59" s="59" t="s">
        <v>37</v>
      </c>
      <c r="S59" s="19"/>
    </row>
    <row r="60" spans="1:19" ht="27.95" customHeight="1">
      <c r="A60" s="7" t="str">
        <f t="shared" si="4"/>
        <v>PRINT</v>
      </c>
      <c r="B60" s="15">
        <f t="shared" si="5"/>
        <v>46</v>
      </c>
      <c r="C60" s="16" t="s">
        <v>159</v>
      </c>
      <c r="D60" s="19" t="str">
        <f t="shared" si="8"/>
        <v>06USG3006-001</v>
      </c>
      <c r="E60" s="19" t="str">
        <f t="shared" si="7"/>
        <v>USG3006</v>
      </c>
      <c r="F60" s="16" t="s">
        <v>162</v>
      </c>
      <c r="G60" s="16" t="s">
        <v>163</v>
      </c>
      <c r="H60" s="17">
        <v>11824</v>
      </c>
      <c r="I60" s="16" t="str">
        <f t="shared" si="9"/>
        <v>PCS</v>
      </c>
      <c r="J60" s="16">
        <f t="shared" ca="1" si="10"/>
        <v>1</v>
      </c>
      <c r="K60" s="18">
        <v>994.09</v>
      </c>
      <c r="L60" s="18">
        <f t="shared" ca="1" si="11"/>
        <v>994.09</v>
      </c>
      <c r="M60" s="18"/>
      <c r="N60" s="18"/>
      <c r="O60" s="18"/>
      <c r="P60" s="63" t="s">
        <v>32</v>
      </c>
      <c r="Q60" s="59" t="s">
        <v>33</v>
      </c>
      <c r="R60" s="59" t="s">
        <v>37</v>
      </c>
      <c r="S60" s="19"/>
    </row>
    <row r="61" spans="1:19" ht="27.95" hidden="1" customHeight="1">
      <c r="A61" s="7" t="str">
        <f t="shared" si="4"/>
        <v/>
      </c>
      <c r="B61" s="15" t="str">
        <f t="shared" si="5"/>
        <v/>
      </c>
      <c r="C61" s="16"/>
      <c r="D61" s="19" t="str">
        <f t="shared" si="8"/>
        <v/>
      </c>
      <c r="E61" s="19" t="str">
        <f t="shared" si="7"/>
        <v/>
      </c>
      <c r="F61" s="16" t="s">
        <v>62</v>
      </c>
      <c r="G61" s="16" t="s">
        <v>67</v>
      </c>
      <c r="H61" s="17">
        <v>778</v>
      </c>
      <c r="I61" s="16" t="s">
        <v>34</v>
      </c>
      <c r="J61" s="16">
        <v>1</v>
      </c>
      <c r="K61" s="18">
        <v>16.559999999999999</v>
      </c>
      <c r="L61" s="18">
        <v>16.559999999999999</v>
      </c>
      <c r="M61" s="18"/>
      <c r="N61" s="18"/>
      <c r="O61" s="18" t="s">
        <v>69</v>
      </c>
      <c r="P61" s="63" t="s">
        <v>32</v>
      </c>
      <c r="Q61" s="59"/>
      <c r="R61" s="59" t="s">
        <v>59</v>
      </c>
      <c r="S61" s="19"/>
    </row>
    <row r="62" spans="1:19" ht="27.95" hidden="1" customHeight="1">
      <c r="A62" s="7" t="str">
        <f t="shared" si="4"/>
        <v/>
      </c>
      <c r="B62" s="15" t="str">
        <f t="shared" si="5"/>
        <v/>
      </c>
      <c r="C62" s="16"/>
      <c r="D62" s="19" t="str">
        <f t="shared" si="8"/>
        <v/>
      </c>
      <c r="E62" s="19" t="str">
        <f t="shared" si="7"/>
        <v/>
      </c>
      <c r="F62" s="16" t="s">
        <v>62</v>
      </c>
      <c r="G62" s="16" t="s">
        <v>67</v>
      </c>
      <c r="H62" s="17">
        <v>778</v>
      </c>
      <c r="I62" s="16" t="s">
        <v>34</v>
      </c>
      <c r="J62" s="16">
        <v>1</v>
      </c>
      <c r="K62" s="18">
        <v>16.559999999999999</v>
      </c>
      <c r="L62" s="18">
        <v>16.559999999999999</v>
      </c>
      <c r="M62" s="18"/>
      <c r="N62" s="18"/>
      <c r="O62" s="18" t="s">
        <v>70</v>
      </c>
      <c r="P62" s="63" t="s">
        <v>32</v>
      </c>
      <c r="Q62" s="59"/>
      <c r="R62" s="59" t="s">
        <v>59</v>
      </c>
      <c r="S62" s="19"/>
    </row>
    <row r="63" spans="1:19" ht="27.95" hidden="1" customHeight="1">
      <c r="A63" s="7" t="str">
        <f t="shared" si="4"/>
        <v/>
      </c>
      <c r="B63" s="15" t="str">
        <f t="shared" si="5"/>
        <v/>
      </c>
      <c r="C63" s="16"/>
      <c r="D63" s="19" t="str">
        <f t="shared" si="8"/>
        <v/>
      </c>
      <c r="E63" s="19" t="str">
        <f t="shared" si="7"/>
        <v/>
      </c>
      <c r="F63" s="16" t="s">
        <v>62</v>
      </c>
      <c r="G63" s="16" t="s">
        <v>67</v>
      </c>
      <c r="H63" s="17">
        <v>778</v>
      </c>
      <c r="I63" s="16" t="s">
        <v>34</v>
      </c>
      <c r="J63" s="16">
        <v>1</v>
      </c>
      <c r="K63" s="18">
        <v>16.559999999999999</v>
      </c>
      <c r="L63" s="18">
        <v>16.559999999999999</v>
      </c>
      <c r="M63" s="18"/>
      <c r="N63" s="18"/>
      <c r="O63" s="18" t="s">
        <v>71</v>
      </c>
      <c r="P63" s="63" t="s">
        <v>32</v>
      </c>
      <c r="Q63" s="59"/>
      <c r="R63" s="59" t="s">
        <v>59</v>
      </c>
      <c r="S63" s="19"/>
    </row>
    <row r="64" spans="1:19" ht="27.95" hidden="1" customHeight="1">
      <c r="A64" s="7" t="str">
        <f t="shared" si="4"/>
        <v/>
      </c>
      <c r="B64" s="15" t="str">
        <f t="shared" si="5"/>
        <v/>
      </c>
      <c r="C64" s="16"/>
      <c r="D64" s="19" t="str">
        <f t="shared" si="8"/>
        <v/>
      </c>
      <c r="E64" s="19" t="str">
        <f t="shared" si="7"/>
        <v/>
      </c>
      <c r="F64" s="16" t="s">
        <v>62</v>
      </c>
      <c r="G64" s="16" t="s">
        <v>67</v>
      </c>
      <c r="H64" s="17">
        <v>778</v>
      </c>
      <c r="I64" s="16" t="s">
        <v>34</v>
      </c>
      <c r="J64" s="16">
        <v>1</v>
      </c>
      <c r="K64" s="18">
        <v>16.559999999999999</v>
      </c>
      <c r="L64" s="18">
        <v>16.559999999999999</v>
      </c>
      <c r="M64" s="18"/>
      <c r="N64" s="18"/>
      <c r="O64" s="18" t="s">
        <v>72</v>
      </c>
      <c r="P64" s="63" t="s">
        <v>32</v>
      </c>
      <c r="Q64" s="59"/>
      <c r="R64" s="59" t="s">
        <v>59</v>
      </c>
      <c r="S64" s="19"/>
    </row>
    <row r="65" spans="1:19" ht="27.95" hidden="1" customHeight="1">
      <c r="A65" s="7" t="str">
        <f t="shared" si="4"/>
        <v/>
      </c>
      <c r="B65" s="15" t="str">
        <f t="shared" si="5"/>
        <v/>
      </c>
      <c r="C65" s="16"/>
      <c r="D65" s="19" t="str">
        <f t="shared" si="8"/>
        <v/>
      </c>
      <c r="E65" s="19" t="str">
        <f t="shared" si="7"/>
        <v/>
      </c>
      <c r="F65" s="16" t="s">
        <v>62</v>
      </c>
      <c r="G65" s="16" t="s">
        <v>67</v>
      </c>
      <c r="H65" s="17">
        <v>198</v>
      </c>
      <c r="I65" s="16" t="s">
        <v>34</v>
      </c>
      <c r="J65" s="16">
        <v>1</v>
      </c>
      <c r="K65" s="18">
        <v>4.21</v>
      </c>
      <c r="L65" s="18">
        <v>4.21</v>
      </c>
      <c r="M65" s="18"/>
      <c r="N65" s="18"/>
      <c r="O65" s="18" t="s">
        <v>73</v>
      </c>
      <c r="P65" s="63" t="s">
        <v>32</v>
      </c>
      <c r="Q65" s="59"/>
      <c r="R65" s="59" t="s">
        <v>59</v>
      </c>
      <c r="S65" s="19"/>
    </row>
    <row r="66" spans="1:19" ht="27.95" hidden="1" customHeight="1">
      <c r="A66" s="7" t="str">
        <f t="shared" si="4"/>
        <v/>
      </c>
      <c r="B66" s="15" t="str">
        <f t="shared" si="5"/>
        <v/>
      </c>
      <c r="C66" s="16"/>
      <c r="D66" s="19" t="str">
        <f t="shared" si="8"/>
        <v/>
      </c>
      <c r="E66" s="19" t="str">
        <f t="shared" si="7"/>
        <v/>
      </c>
      <c r="F66" s="16" t="s">
        <v>62</v>
      </c>
      <c r="G66" s="16" t="s">
        <v>67</v>
      </c>
      <c r="H66" s="17">
        <v>198</v>
      </c>
      <c r="I66" s="16" t="s">
        <v>34</v>
      </c>
      <c r="J66" s="16">
        <v>1</v>
      </c>
      <c r="K66" s="18">
        <v>4.21</v>
      </c>
      <c r="L66" s="18">
        <v>4.21</v>
      </c>
      <c r="M66" s="18"/>
      <c r="N66" s="18"/>
      <c r="O66" s="18" t="s">
        <v>74</v>
      </c>
      <c r="P66" s="63" t="s">
        <v>32</v>
      </c>
      <c r="Q66" s="59"/>
      <c r="R66" s="59" t="s">
        <v>59</v>
      </c>
      <c r="S66" s="19"/>
    </row>
    <row r="67" spans="1:19" ht="27.95" hidden="1" customHeight="1">
      <c r="A67" s="7" t="str">
        <f t="shared" si="4"/>
        <v/>
      </c>
      <c r="B67" s="15" t="str">
        <f t="shared" si="5"/>
        <v/>
      </c>
      <c r="C67" s="16"/>
      <c r="D67" s="19" t="str">
        <f t="shared" si="8"/>
        <v/>
      </c>
      <c r="E67" s="19" t="str">
        <f t="shared" si="7"/>
        <v/>
      </c>
      <c r="F67" s="16" t="s">
        <v>62</v>
      </c>
      <c r="G67" s="16" t="s">
        <v>67</v>
      </c>
      <c r="H67" s="17">
        <v>198</v>
      </c>
      <c r="I67" s="16" t="s">
        <v>34</v>
      </c>
      <c r="J67" s="16">
        <v>1</v>
      </c>
      <c r="K67" s="18">
        <v>4.21</v>
      </c>
      <c r="L67" s="18">
        <v>4.21</v>
      </c>
      <c r="M67" s="18"/>
      <c r="N67" s="18"/>
      <c r="O67" s="18" t="s">
        <v>75</v>
      </c>
      <c r="P67" s="63" t="s">
        <v>32</v>
      </c>
      <c r="Q67" s="59"/>
      <c r="R67" s="59" t="s">
        <v>59</v>
      </c>
      <c r="S67" s="19"/>
    </row>
    <row r="68" spans="1:19" ht="27.95" hidden="1" customHeight="1">
      <c r="A68" s="7" t="str">
        <f t="shared" si="4"/>
        <v/>
      </c>
      <c r="B68" s="15" t="str">
        <f t="shared" si="5"/>
        <v/>
      </c>
      <c r="C68" s="16"/>
      <c r="D68" s="19" t="str">
        <f t="shared" si="8"/>
        <v/>
      </c>
      <c r="E68" s="19" t="str">
        <f t="shared" si="7"/>
        <v/>
      </c>
      <c r="F68" s="16" t="s">
        <v>62</v>
      </c>
      <c r="G68" s="16" t="s">
        <v>67</v>
      </c>
      <c r="H68" s="17">
        <v>198</v>
      </c>
      <c r="I68" s="16" t="s">
        <v>34</v>
      </c>
      <c r="J68" s="16">
        <v>1</v>
      </c>
      <c r="K68" s="18">
        <v>4.21</v>
      </c>
      <c r="L68" s="18">
        <v>4.21</v>
      </c>
      <c r="M68" s="18"/>
      <c r="N68" s="18"/>
      <c r="O68" s="18" t="s">
        <v>76</v>
      </c>
      <c r="P68" s="63" t="s">
        <v>32</v>
      </c>
      <c r="Q68" s="59"/>
      <c r="R68" s="59" t="s">
        <v>59</v>
      </c>
      <c r="S68" s="19"/>
    </row>
    <row r="69" spans="1:19" ht="27.95" hidden="1" customHeight="1">
      <c r="A69" s="7" t="str">
        <f t="shared" si="4"/>
        <v/>
      </c>
      <c r="B69" s="15" t="str">
        <f t="shared" si="5"/>
        <v/>
      </c>
      <c r="C69" s="16"/>
      <c r="D69" s="19" t="str">
        <f t="shared" si="8"/>
        <v/>
      </c>
      <c r="E69" s="19" t="str">
        <f t="shared" si="7"/>
        <v/>
      </c>
      <c r="F69" s="16" t="s">
        <v>62</v>
      </c>
      <c r="G69" s="16" t="s">
        <v>67</v>
      </c>
      <c r="H69" s="17">
        <v>198</v>
      </c>
      <c r="I69" s="16" t="s">
        <v>34</v>
      </c>
      <c r="J69" s="16">
        <v>1</v>
      </c>
      <c r="K69" s="18">
        <v>4.21</v>
      </c>
      <c r="L69" s="18">
        <v>4.21</v>
      </c>
      <c r="M69" s="18"/>
      <c r="N69" s="18"/>
      <c r="O69" s="18" t="s">
        <v>77</v>
      </c>
      <c r="P69" s="63" t="s">
        <v>32</v>
      </c>
      <c r="Q69" s="59"/>
      <c r="R69" s="59" t="s">
        <v>59</v>
      </c>
      <c r="S69" s="19"/>
    </row>
    <row r="70" spans="1:19" ht="27.95" hidden="1" customHeight="1">
      <c r="A70" s="7" t="str">
        <f t="shared" si="4"/>
        <v/>
      </c>
      <c r="B70" s="15" t="str">
        <f t="shared" si="5"/>
        <v/>
      </c>
      <c r="C70" s="16"/>
      <c r="D70" s="19" t="str">
        <f t="shared" si="8"/>
        <v/>
      </c>
      <c r="E70" s="19" t="str">
        <f t="shared" si="7"/>
        <v/>
      </c>
      <c r="F70" s="16" t="s">
        <v>62</v>
      </c>
      <c r="G70" s="16" t="s">
        <v>67</v>
      </c>
      <c r="H70" s="17">
        <v>198</v>
      </c>
      <c r="I70" s="16" t="s">
        <v>34</v>
      </c>
      <c r="J70" s="16">
        <v>1</v>
      </c>
      <c r="K70" s="18">
        <v>4.21</v>
      </c>
      <c r="L70" s="18">
        <v>4.21</v>
      </c>
      <c r="M70" s="18"/>
      <c r="N70" s="18"/>
      <c r="O70" s="18" t="s">
        <v>78</v>
      </c>
      <c r="P70" s="63" t="s">
        <v>32</v>
      </c>
      <c r="Q70" s="59"/>
      <c r="R70" s="59" t="s">
        <v>59</v>
      </c>
      <c r="S70" s="19"/>
    </row>
    <row r="71" spans="1:19" ht="27.95" hidden="1" customHeight="1">
      <c r="A71" s="7" t="str">
        <f t="shared" si="4"/>
        <v/>
      </c>
      <c r="B71" s="15" t="str">
        <f t="shared" si="5"/>
        <v/>
      </c>
      <c r="C71" s="16"/>
      <c r="D71" s="19" t="str">
        <f t="shared" si="8"/>
        <v/>
      </c>
      <c r="E71" s="19" t="str">
        <f t="shared" si="7"/>
        <v/>
      </c>
      <c r="F71" s="16" t="s">
        <v>62</v>
      </c>
      <c r="G71" s="16" t="s">
        <v>67</v>
      </c>
      <c r="H71" s="17">
        <v>198</v>
      </c>
      <c r="I71" s="16" t="s">
        <v>34</v>
      </c>
      <c r="J71" s="16">
        <v>1</v>
      </c>
      <c r="K71" s="18">
        <v>4.21</v>
      </c>
      <c r="L71" s="18">
        <v>4.21</v>
      </c>
      <c r="M71" s="18"/>
      <c r="N71" s="18"/>
      <c r="O71" s="18" t="s">
        <v>79</v>
      </c>
      <c r="P71" s="63" t="s">
        <v>32</v>
      </c>
      <c r="Q71" s="59"/>
      <c r="R71" s="59" t="s">
        <v>59</v>
      </c>
      <c r="S71" s="19"/>
    </row>
    <row r="72" spans="1:19" ht="27.95" hidden="1" customHeight="1">
      <c r="A72" s="7" t="str">
        <f t="shared" si="4"/>
        <v/>
      </c>
      <c r="B72" s="15" t="str">
        <f t="shared" si="5"/>
        <v/>
      </c>
      <c r="C72" s="16"/>
      <c r="D72" s="19" t="str">
        <f t="shared" si="8"/>
        <v/>
      </c>
      <c r="E72" s="19" t="str">
        <f t="shared" si="7"/>
        <v/>
      </c>
      <c r="F72" s="16" t="s">
        <v>62</v>
      </c>
      <c r="G72" s="16" t="s">
        <v>67</v>
      </c>
      <c r="H72" s="17">
        <v>198</v>
      </c>
      <c r="I72" s="16" t="s">
        <v>34</v>
      </c>
      <c r="J72" s="16">
        <v>1</v>
      </c>
      <c r="K72" s="18">
        <v>4.21</v>
      </c>
      <c r="L72" s="18">
        <v>4.21</v>
      </c>
      <c r="M72" s="18"/>
      <c r="N72" s="18"/>
      <c r="O72" s="18" t="s">
        <v>80</v>
      </c>
      <c r="P72" s="63" t="s">
        <v>32</v>
      </c>
      <c r="Q72" s="59"/>
      <c r="R72" s="59" t="s">
        <v>59</v>
      </c>
      <c r="S72" s="19"/>
    </row>
    <row r="73" spans="1:19" ht="27.95" hidden="1" customHeight="1">
      <c r="A73" s="7" t="str">
        <f t="shared" ref="A73:A93" si="12">IF(B73="","","PRINT")</f>
        <v/>
      </c>
      <c r="B73" s="15" t="str">
        <f t="shared" ref="B73:B93" si="13">IF(C73="","",ROW()-14)</f>
        <v/>
      </c>
      <c r="C73" s="16"/>
      <c r="D73" s="19" t="str">
        <f t="shared" ref="D73:D93" si="14">MID(C73,3,13)</f>
        <v/>
      </c>
      <c r="E73" s="19" t="str">
        <f t="shared" si="7"/>
        <v/>
      </c>
      <c r="F73" s="16" t="s">
        <v>62</v>
      </c>
      <c r="G73" s="16" t="s">
        <v>67</v>
      </c>
      <c r="H73" s="17">
        <v>1122</v>
      </c>
      <c r="I73" s="16" t="str">
        <f t="shared" ref="I73:I83" si="15">IF(E73="", "", "PCS")</f>
        <v/>
      </c>
      <c r="J73" s="16" t="str">
        <f t="shared" ref="J73:J83" ca="1" si="16">IF(E73="","",RANDBETWEEN(1,1))</f>
        <v/>
      </c>
      <c r="K73" s="18">
        <v>27.75</v>
      </c>
      <c r="L73" s="18" t="str">
        <f t="shared" ref="L73:L83" ca="1" si="17">IFERROR(K73*J73,"-")</f>
        <v>-</v>
      </c>
      <c r="M73" s="18"/>
      <c r="N73" s="18"/>
      <c r="O73" s="18" t="s">
        <v>81</v>
      </c>
      <c r="P73" s="63" t="s">
        <v>32</v>
      </c>
      <c r="Q73" s="59" t="s">
        <v>33</v>
      </c>
      <c r="R73" s="59" t="s">
        <v>37</v>
      </c>
      <c r="S73" s="19"/>
    </row>
    <row r="74" spans="1:19" ht="27.95" hidden="1" customHeight="1">
      <c r="A74" s="7" t="str">
        <f t="shared" si="12"/>
        <v/>
      </c>
      <c r="B74" s="15" t="str">
        <f t="shared" si="13"/>
        <v/>
      </c>
      <c r="C74" s="16"/>
      <c r="D74" s="19" t="str">
        <f t="shared" si="14"/>
        <v/>
      </c>
      <c r="E74" s="19" t="str">
        <f t="shared" si="7"/>
        <v/>
      </c>
      <c r="F74" s="16" t="s">
        <v>62</v>
      </c>
      <c r="G74" s="16" t="s">
        <v>67</v>
      </c>
      <c r="H74" s="17">
        <v>1122</v>
      </c>
      <c r="I74" s="16" t="str">
        <f t="shared" si="15"/>
        <v/>
      </c>
      <c r="J74" s="16" t="str">
        <f t="shared" ca="1" si="16"/>
        <v/>
      </c>
      <c r="K74" s="18">
        <v>27.75</v>
      </c>
      <c r="L74" s="18" t="str">
        <f t="shared" ca="1" si="17"/>
        <v>-</v>
      </c>
      <c r="M74" s="18"/>
      <c r="N74" s="18"/>
      <c r="O74" s="18" t="s">
        <v>82</v>
      </c>
      <c r="P74" s="63" t="s">
        <v>32</v>
      </c>
      <c r="Q74" s="59" t="s">
        <v>33</v>
      </c>
      <c r="R74" s="59" t="s">
        <v>37</v>
      </c>
      <c r="S74" s="19"/>
    </row>
    <row r="75" spans="1:19" ht="27.95" hidden="1" customHeight="1">
      <c r="A75" s="7" t="str">
        <f t="shared" si="12"/>
        <v/>
      </c>
      <c r="B75" s="15" t="str">
        <f t="shared" si="13"/>
        <v/>
      </c>
      <c r="C75" s="16"/>
      <c r="D75" s="19" t="str">
        <f t="shared" si="14"/>
        <v/>
      </c>
      <c r="E75" s="19" t="str">
        <f t="shared" si="7"/>
        <v/>
      </c>
      <c r="F75" s="16" t="s">
        <v>62</v>
      </c>
      <c r="G75" s="16" t="s">
        <v>67</v>
      </c>
      <c r="H75" s="17">
        <v>1122</v>
      </c>
      <c r="I75" s="16" t="str">
        <f t="shared" si="15"/>
        <v/>
      </c>
      <c r="J75" s="16" t="str">
        <f t="shared" ca="1" si="16"/>
        <v/>
      </c>
      <c r="K75" s="18">
        <v>27.75</v>
      </c>
      <c r="L75" s="18" t="str">
        <f t="shared" ca="1" si="17"/>
        <v>-</v>
      </c>
      <c r="M75" s="18"/>
      <c r="N75" s="18"/>
      <c r="O75" s="18" t="s">
        <v>83</v>
      </c>
      <c r="P75" s="63" t="s">
        <v>32</v>
      </c>
      <c r="Q75" s="59" t="s">
        <v>33</v>
      </c>
      <c r="R75" s="59" t="s">
        <v>37</v>
      </c>
      <c r="S75" s="19"/>
    </row>
    <row r="76" spans="1:19" ht="27.95" hidden="1" customHeight="1">
      <c r="A76" s="7" t="str">
        <f t="shared" si="12"/>
        <v/>
      </c>
      <c r="B76" s="15" t="str">
        <f t="shared" si="13"/>
        <v/>
      </c>
      <c r="C76" s="16"/>
      <c r="D76" s="19" t="str">
        <f t="shared" si="14"/>
        <v/>
      </c>
      <c r="E76" s="19" t="str">
        <f t="shared" si="7"/>
        <v/>
      </c>
      <c r="F76" s="16" t="s">
        <v>62</v>
      </c>
      <c r="G76" s="16" t="s">
        <v>67</v>
      </c>
      <c r="H76" s="17">
        <v>1122</v>
      </c>
      <c r="I76" s="16" t="str">
        <f t="shared" si="15"/>
        <v/>
      </c>
      <c r="J76" s="16" t="str">
        <f t="shared" ca="1" si="16"/>
        <v/>
      </c>
      <c r="K76" s="18">
        <v>27.75</v>
      </c>
      <c r="L76" s="18" t="str">
        <f t="shared" ca="1" si="17"/>
        <v>-</v>
      </c>
      <c r="M76" s="18"/>
      <c r="N76" s="18"/>
      <c r="O76" s="18" t="s">
        <v>84</v>
      </c>
      <c r="P76" s="63" t="s">
        <v>32</v>
      </c>
      <c r="Q76" s="59" t="s">
        <v>33</v>
      </c>
      <c r="R76" s="59" t="s">
        <v>37</v>
      </c>
      <c r="S76" s="19"/>
    </row>
    <row r="77" spans="1:19" ht="27.95" hidden="1" customHeight="1">
      <c r="A77" s="7" t="str">
        <f t="shared" si="12"/>
        <v/>
      </c>
      <c r="B77" s="15" t="str">
        <f t="shared" si="13"/>
        <v/>
      </c>
      <c r="C77" s="16"/>
      <c r="D77" s="19" t="str">
        <f t="shared" si="14"/>
        <v/>
      </c>
      <c r="E77" s="19" t="str">
        <f t="shared" si="7"/>
        <v/>
      </c>
      <c r="F77" s="16" t="s">
        <v>62</v>
      </c>
      <c r="G77" s="16" t="s">
        <v>67</v>
      </c>
      <c r="H77" s="17">
        <v>1122</v>
      </c>
      <c r="I77" s="16" t="str">
        <f t="shared" si="15"/>
        <v/>
      </c>
      <c r="J77" s="16" t="str">
        <f t="shared" ca="1" si="16"/>
        <v/>
      </c>
      <c r="K77" s="18">
        <v>27.75</v>
      </c>
      <c r="L77" s="18" t="str">
        <f t="shared" ca="1" si="17"/>
        <v>-</v>
      </c>
      <c r="M77" s="18"/>
      <c r="N77" s="18"/>
      <c r="O77" s="18" t="s">
        <v>85</v>
      </c>
      <c r="P77" s="63" t="s">
        <v>32</v>
      </c>
      <c r="Q77" s="59" t="s">
        <v>33</v>
      </c>
      <c r="R77" s="59" t="s">
        <v>37</v>
      </c>
      <c r="S77" s="19"/>
    </row>
    <row r="78" spans="1:19" ht="27.75" hidden="1" customHeight="1">
      <c r="A78" s="7" t="str">
        <f t="shared" si="12"/>
        <v/>
      </c>
      <c r="B78" s="15" t="str">
        <f t="shared" si="13"/>
        <v/>
      </c>
      <c r="C78" s="16"/>
      <c r="D78" s="19" t="str">
        <f t="shared" si="14"/>
        <v/>
      </c>
      <c r="E78" s="19" t="str">
        <f t="shared" ref="E78:E93" si="18">MID(D78,3,7)</f>
        <v/>
      </c>
      <c r="F78" s="16" t="s">
        <v>62</v>
      </c>
      <c r="G78" s="16" t="s">
        <v>67</v>
      </c>
      <c r="H78" s="17">
        <v>1122</v>
      </c>
      <c r="I78" s="16" t="str">
        <f t="shared" si="15"/>
        <v/>
      </c>
      <c r="J78" s="16" t="str">
        <f t="shared" ca="1" si="16"/>
        <v/>
      </c>
      <c r="K78" s="18">
        <v>27.75</v>
      </c>
      <c r="L78" s="18" t="str">
        <f t="shared" ca="1" si="17"/>
        <v>-</v>
      </c>
      <c r="M78" s="65"/>
      <c r="N78" s="65"/>
      <c r="O78" s="18" t="s">
        <v>86</v>
      </c>
      <c r="P78" s="63" t="s">
        <v>32</v>
      </c>
      <c r="Q78" s="59" t="s">
        <v>33</v>
      </c>
      <c r="R78" s="59" t="s">
        <v>37</v>
      </c>
      <c r="S78" s="19"/>
    </row>
    <row r="79" spans="1:19" ht="27.95" hidden="1" customHeight="1">
      <c r="A79" s="7" t="str">
        <f t="shared" si="12"/>
        <v/>
      </c>
      <c r="B79" s="15" t="str">
        <f t="shared" si="13"/>
        <v/>
      </c>
      <c r="C79" s="19"/>
      <c r="D79" s="19" t="str">
        <f t="shared" si="14"/>
        <v/>
      </c>
      <c r="E79" s="19" t="str">
        <f t="shared" si="18"/>
        <v/>
      </c>
      <c r="F79" s="19" t="s">
        <v>60</v>
      </c>
      <c r="G79" s="19" t="s">
        <v>66</v>
      </c>
      <c r="H79" s="66">
        <v>11360</v>
      </c>
      <c r="I79" s="19" t="str">
        <f t="shared" si="15"/>
        <v/>
      </c>
      <c r="J79" s="19" t="str">
        <f t="shared" ca="1" si="16"/>
        <v/>
      </c>
      <c r="K79" s="59">
        <v>3554.27</v>
      </c>
      <c r="L79" s="59" t="str">
        <f t="shared" ca="1" si="17"/>
        <v>-</v>
      </c>
      <c r="M79" s="64"/>
      <c r="N79" s="64"/>
      <c r="O79" s="59" t="s">
        <v>87</v>
      </c>
      <c r="P79" s="63" t="s">
        <v>32</v>
      </c>
      <c r="Q79" s="59" t="s">
        <v>33</v>
      </c>
      <c r="R79" s="59" t="s">
        <v>63</v>
      </c>
      <c r="S79" s="19"/>
    </row>
    <row r="80" spans="1:19" ht="27.95" hidden="1" customHeight="1">
      <c r="A80" s="7" t="str">
        <f t="shared" si="12"/>
        <v/>
      </c>
      <c r="B80" s="15" t="str">
        <f t="shared" si="13"/>
        <v/>
      </c>
      <c r="C80" s="19"/>
      <c r="D80" s="19" t="str">
        <f t="shared" si="14"/>
        <v/>
      </c>
      <c r="E80" s="19" t="str">
        <f t="shared" si="18"/>
        <v/>
      </c>
      <c r="F80" s="19" t="s">
        <v>60</v>
      </c>
      <c r="G80" s="19" t="s">
        <v>66</v>
      </c>
      <c r="H80" s="66">
        <v>3559</v>
      </c>
      <c r="I80" s="19" t="str">
        <f t="shared" si="15"/>
        <v/>
      </c>
      <c r="J80" s="19" t="str">
        <f t="shared" ca="1" si="16"/>
        <v/>
      </c>
      <c r="K80" s="59">
        <v>844.86</v>
      </c>
      <c r="L80" s="59" t="str">
        <f t="shared" ca="1" si="17"/>
        <v>-</v>
      </c>
      <c r="M80" s="18"/>
      <c r="N80" s="18"/>
      <c r="O80" s="59" t="s">
        <v>88</v>
      </c>
      <c r="P80" s="63" t="s">
        <v>32</v>
      </c>
      <c r="Q80" s="59" t="s">
        <v>33</v>
      </c>
      <c r="R80" s="59" t="s">
        <v>37</v>
      </c>
      <c r="S80" s="19"/>
    </row>
    <row r="81" spans="1:25" ht="27.95" hidden="1" customHeight="1">
      <c r="A81" s="7" t="str">
        <f t="shared" si="12"/>
        <v/>
      </c>
      <c r="B81" s="15" t="str">
        <f t="shared" si="13"/>
        <v/>
      </c>
      <c r="C81" s="19"/>
      <c r="D81" s="19" t="str">
        <f t="shared" si="14"/>
        <v/>
      </c>
      <c r="E81" s="19" t="str">
        <f t="shared" si="18"/>
        <v/>
      </c>
      <c r="F81" s="19" t="s">
        <v>60</v>
      </c>
      <c r="G81" s="19" t="s">
        <v>64</v>
      </c>
      <c r="H81" s="66">
        <v>3977</v>
      </c>
      <c r="I81" s="19" t="str">
        <f t="shared" si="15"/>
        <v/>
      </c>
      <c r="J81" s="19" t="str">
        <f t="shared" ca="1" si="16"/>
        <v/>
      </c>
      <c r="K81" s="59">
        <v>1059.58</v>
      </c>
      <c r="L81" s="59" t="str">
        <f t="shared" ca="1" si="17"/>
        <v>-</v>
      </c>
      <c r="M81" s="65"/>
      <c r="N81" s="65"/>
      <c r="O81" s="59" t="s">
        <v>89</v>
      </c>
      <c r="P81" s="63" t="s">
        <v>32</v>
      </c>
      <c r="Q81" s="59" t="s">
        <v>65</v>
      </c>
      <c r="R81" s="59" t="s">
        <v>63</v>
      </c>
      <c r="S81" s="19"/>
    </row>
    <row r="82" spans="1:25" ht="27.95" hidden="1" customHeight="1">
      <c r="A82" s="7" t="str">
        <f t="shared" si="12"/>
        <v/>
      </c>
      <c r="B82" s="15" t="str">
        <f t="shared" si="13"/>
        <v/>
      </c>
      <c r="C82" s="19"/>
      <c r="D82" s="19" t="str">
        <f t="shared" si="14"/>
        <v/>
      </c>
      <c r="E82" s="19" t="str">
        <f t="shared" si="18"/>
        <v/>
      </c>
      <c r="F82" s="19" t="s">
        <v>60</v>
      </c>
      <c r="G82" s="19" t="s">
        <v>64</v>
      </c>
      <c r="H82" s="66">
        <v>3977</v>
      </c>
      <c r="I82" s="19" t="str">
        <f t="shared" si="15"/>
        <v/>
      </c>
      <c r="J82" s="19" t="str">
        <f t="shared" ca="1" si="16"/>
        <v/>
      </c>
      <c r="K82" s="59">
        <v>1059.58</v>
      </c>
      <c r="L82" s="59" t="str">
        <f t="shared" ca="1" si="17"/>
        <v>-</v>
      </c>
      <c r="M82" s="65"/>
      <c r="N82" s="65"/>
      <c r="O82" s="59" t="s">
        <v>90</v>
      </c>
      <c r="P82" s="63" t="s">
        <v>32</v>
      </c>
      <c r="Q82" s="59" t="s">
        <v>65</v>
      </c>
      <c r="R82" s="59" t="s">
        <v>63</v>
      </c>
      <c r="S82" s="19"/>
    </row>
    <row r="83" spans="1:25" ht="27.95" hidden="1" customHeight="1">
      <c r="A83" s="7" t="str">
        <f t="shared" si="12"/>
        <v/>
      </c>
      <c r="B83" s="15" t="str">
        <f t="shared" si="13"/>
        <v/>
      </c>
      <c r="C83" s="19"/>
      <c r="D83" s="19" t="str">
        <f t="shared" si="14"/>
        <v/>
      </c>
      <c r="E83" s="19" t="str">
        <f t="shared" si="18"/>
        <v/>
      </c>
      <c r="F83" s="19" t="s">
        <v>60</v>
      </c>
      <c r="G83" s="19" t="s">
        <v>64</v>
      </c>
      <c r="H83" s="66">
        <v>3977</v>
      </c>
      <c r="I83" s="19" t="str">
        <f t="shared" si="15"/>
        <v/>
      </c>
      <c r="J83" s="19" t="str">
        <f t="shared" ca="1" si="16"/>
        <v/>
      </c>
      <c r="K83" s="59">
        <v>1059.58</v>
      </c>
      <c r="L83" s="59" t="str">
        <f t="shared" ca="1" si="17"/>
        <v>-</v>
      </c>
      <c r="M83" s="65"/>
      <c r="N83" s="65"/>
      <c r="O83" s="59" t="s">
        <v>91</v>
      </c>
      <c r="P83" s="63" t="s">
        <v>32</v>
      </c>
      <c r="Q83" s="59" t="s">
        <v>65</v>
      </c>
      <c r="R83" s="59" t="s">
        <v>63</v>
      </c>
      <c r="S83" s="19"/>
    </row>
    <row r="84" spans="1:25" ht="27.95" hidden="1" customHeight="1">
      <c r="A84" s="7" t="str">
        <f t="shared" si="12"/>
        <v/>
      </c>
      <c r="B84" s="15" t="str">
        <f t="shared" si="13"/>
        <v/>
      </c>
      <c r="C84" s="19"/>
      <c r="D84" s="19" t="str">
        <f t="shared" si="14"/>
        <v/>
      </c>
      <c r="E84" s="19" t="str">
        <f t="shared" si="18"/>
        <v/>
      </c>
      <c r="F84" s="19" t="s">
        <v>62</v>
      </c>
      <c r="G84" s="19" t="s">
        <v>61</v>
      </c>
      <c r="H84" s="66">
        <v>5967</v>
      </c>
      <c r="I84" s="19" t="s">
        <v>34</v>
      </c>
      <c r="J84" s="19">
        <v>1</v>
      </c>
      <c r="K84" s="59">
        <v>872.7</v>
      </c>
      <c r="L84" s="59">
        <v>872.7</v>
      </c>
      <c r="M84" s="18"/>
      <c r="N84" s="18"/>
      <c r="O84" s="59" t="s">
        <v>92</v>
      </c>
      <c r="P84" s="63" t="s">
        <v>68</v>
      </c>
      <c r="Q84" s="59" t="s">
        <v>33</v>
      </c>
      <c r="R84" s="59" t="s">
        <v>37</v>
      </c>
      <c r="S84" s="19"/>
    </row>
    <row r="85" spans="1:25" ht="27.95" hidden="1" customHeight="1">
      <c r="A85" s="7" t="str">
        <f t="shared" si="12"/>
        <v/>
      </c>
      <c r="B85" s="15" t="str">
        <f t="shared" si="13"/>
        <v/>
      </c>
      <c r="C85" s="19"/>
      <c r="D85" s="19" t="str">
        <f t="shared" si="14"/>
        <v/>
      </c>
      <c r="E85" s="19" t="str">
        <f t="shared" si="18"/>
        <v/>
      </c>
      <c r="F85" s="19" t="s">
        <v>62</v>
      </c>
      <c r="G85" s="19" t="s">
        <v>61</v>
      </c>
      <c r="H85" s="66">
        <v>5967</v>
      </c>
      <c r="I85" s="19" t="s">
        <v>34</v>
      </c>
      <c r="J85" s="19">
        <v>1</v>
      </c>
      <c r="K85" s="59">
        <v>872.7</v>
      </c>
      <c r="L85" s="59">
        <v>872.7</v>
      </c>
      <c r="M85" s="18"/>
      <c r="N85" s="18"/>
      <c r="O85" s="59" t="s">
        <v>93</v>
      </c>
      <c r="P85" s="63" t="s">
        <v>68</v>
      </c>
      <c r="Q85" s="59" t="s">
        <v>33</v>
      </c>
      <c r="R85" s="59" t="s">
        <v>37</v>
      </c>
      <c r="S85" s="19"/>
    </row>
    <row r="86" spans="1:25" ht="27.95" hidden="1" customHeight="1">
      <c r="A86" s="7" t="str">
        <f t="shared" si="12"/>
        <v/>
      </c>
      <c r="B86" s="15" t="str">
        <f t="shared" si="13"/>
        <v/>
      </c>
      <c r="C86" s="19"/>
      <c r="D86" s="19" t="str">
        <f t="shared" si="14"/>
        <v/>
      </c>
      <c r="E86" s="19" t="str">
        <f t="shared" si="18"/>
        <v/>
      </c>
      <c r="F86" s="19" t="s">
        <v>62</v>
      </c>
      <c r="G86" s="19" t="s">
        <v>61</v>
      </c>
      <c r="H86" s="66">
        <v>5967</v>
      </c>
      <c r="I86" s="19" t="s">
        <v>34</v>
      </c>
      <c r="J86" s="19">
        <v>1</v>
      </c>
      <c r="K86" s="59">
        <v>872.7</v>
      </c>
      <c r="L86" s="59">
        <v>872.7</v>
      </c>
      <c r="M86" s="18"/>
      <c r="N86" s="18"/>
      <c r="O86" s="59" t="s">
        <v>94</v>
      </c>
      <c r="P86" s="59" t="s">
        <v>35</v>
      </c>
      <c r="Q86" s="59" t="s">
        <v>33</v>
      </c>
      <c r="R86" s="59" t="s">
        <v>37</v>
      </c>
      <c r="S86" s="19"/>
    </row>
    <row r="87" spans="1:25" ht="27.95" hidden="1" customHeight="1">
      <c r="A87" s="7" t="str">
        <f t="shared" si="12"/>
        <v/>
      </c>
      <c r="B87" s="15" t="str">
        <f t="shared" si="13"/>
        <v/>
      </c>
      <c r="C87" s="19"/>
      <c r="D87" s="19" t="str">
        <f t="shared" si="14"/>
        <v/>
      </c>
      <c r="E87" s="19" t="str">
        <f t="shared" si="18"/>
        <v/>
      </c>
      <c r="F87" s="19" t="s">
        <v>62</v>
      </c>
      <c r="G87" s="19" t="s">
        <v>61</v>
      </c>
      <c r="H87" s="66">
        <v>5967</v>
      </c>
      <c r="I87" s="19" t="s">
        <v>34</v>
      </c>
      <c r="J87" s="19">
        <v>1</v>
      </c>
      <c r="K87" s="59">
        <v>874.32</v>
      </c>
      <c r="L87" s="59">
        <v>874.32</v>
      </c>
      <c r="M87" s="18"/>
      <c r="N87" s="18"/>
      <c r="O87" s="59" t="s">
        <v>95</v>
      </c>
      <c r="P87" s="59" t="s">
        <v>35</v>
      </c>
      <c r="Q87" s="59" t="s">
        <v>33</v>
      </c>
      <c r="R87" s="59" t="s">
        <v>37</v>
      </c>
      <c r="S87" s="19"/>
    </row>
    <row r="88" spans="1:25" ht="27.95" hidden="1" customHeight="1">
      <c r="A88" s="7" t="str">
        <f t="shared" si="12"/>
        <v/>
      </c>
      <c r="B88" s="15" t="str">
        <f t="shared" si="13"/>
        <v/>
      </c>
      <c r="C88" s="19"/>
      <c r="D88" s="19" t="str">
        <f t="shared" si="14"/>
        <v/>
      </c>
      <c r="E88" s="19" t="str">
        <f t="shared" si="18"/>
        <v/>
      </c>
      <c r="F88" s="19" t="s">
        <v>62</v>
      </c>
      <c r="G88" s="19" t="s">
        <v>61</v>
      </c>
      <c r="H88" s="66">
        <v>5967</v>
      </c>
      <c r="I88" s="19" t="s">
        <v>34</v>
      </c>
      <c r="J88" s="19">
        <v>1</v>
      </c>
      <c r="K88" s="59">
        <v>874.32</v>
      </c>
      <c r="L88" s="59">
        <v>874.32</v>
      </c>
      <c r="M88" s="18"/>
      <c r="N88" s="18"/>
      <c r="O88" s="59" t="s">
        <v>96</v>
      </c>
      <c r="P88" s="63" t="s">
        <v>68</v>
      </c>
      <c r="Q88" s="59" t="s">
        <v>33</v>
      </c>
      <c r="R88" s="59" t="s">
        <v>37</v>
      </c>
      <c r="S88" s="19"/>
    </row>
    <row r="89" spans="1:25" ht="27.95" hidden="1" customHeight="1">
      <c r="A89" s="7" t="str">
        <f t="shared" si="12"/>
        <v/>
      </c>
      <c r="B89" s="15" t="str">
        <f t="shared" si="13"/>
        <v/>
      </c>
      <c r="C89" s="19"/>
      <c r="D89" s="19" t="str">
        <f t="shared" si="14"/>
        <v/>
      </c>
      <c r="E89" s="19" t="str">
        <f t="shared" si="18"/>
        <v/>
      </c>
      <c r="F89" s="19" t="s">
        <v>62</v>
      </c>
      <c r="G89" s="19" t="s">
        <v>61</v>
      </c>
      <c r="H89" s="66">
        <v>5967</v>
      </c>
      <c r="I89" s="19" t="s">
        <v>34</v>
      </c>
      <c r="J89" s="19">
        <v>1</v>
      </c>
      <c r="K89" s="59">
        <v>874.32</v>
      </c>
      <c r="L89" s="59">
        <v>874.32</v>
      </c>
      <c r="M89" s="18"/>
      <c r="N89" s="18"/>
      <c r="O89" s="59" t="s">
        <v>97</v>
      </c>
      <c r="P89" s="63" t="s">
        <v>68</v>
      </c>
      <c r="Q89" s="59" t="s">
        <v>33</v>
      </c>
      <c r="R89" s="59" t="s">
        <v>37</v>
      </c>
      <c r="S89" s="19"/>
    </row>
    <row r="90" spans="1:25" s="68" customFormat="1" ht="27.95" hidden="1" customHeight="1">
      <c r="A90" s="68" t="str">
        <f t="shared" si="12"/>
        <v/>
      </c>
      <c r="B90" s="69" t="str">
        <f t="shared" si="13"/>
        <v/>
      </c>
      <c r="C90" s="70"/>
      <c r="D90" s="70" t="str">
        <f t="shared" si="14"/>
        <v/>
      </c>
      <c r="E90" s="70" t="str">
        <f t="shared" si="18"/>
        <v/>
      </c>
      <c r="F90" s="70" t="s">
        <v>98</v>
      </c>
      <c r="G90" s="70" t="s">
        <v>99</v>
      </c>
      <c r="H90" s="71">
        <v>1805</v>
      </c>
      <c r="I90" s="70" t="str">
        <f t="shared" ref="I90:I97" si="19">IF(E90="", "", "PCS")</f>
        <v/>
      </c>
      <c r="J90" s="70" t="str">
        <f t="shared" ref="J90:J97" ca="1" si="20">IF(E90="","",RANDBETWEEN(1,1))</f>
        <v/>
      </c>
      <c r="K90" s="72">
        <v>100.23</v>
      </c>
      <c r="L90" s="72" t="str">
        <f t="shared" ref="L90:L97" ca="1" si="21">IFERROR(K90*J90,"-")</f>
        <v>-</v>
      </c>
      <c r="M90" s="67"/>
      <c r="N90" s="67"/>
      <c r="O90" s="72" t="s">
        <v>101</v>
      </c>
      <c r="P90" s="73" t="s">
        <v>32</v>
      </c>
      <c r="Q90" s="72" t="s">
        <v>33</v>
      </c>
      <c r="R90" s="72" t="s">
        <v>37</v>
      </c>
      <c r="S90" s="70" t="s">
        <v>103</v>
      </c>
      <c r="T90" s="74"/>
      <c r="U90" s="74"/>
      <c r="V90" s="75"/>
      <c r="W90" s="74"/>
      <c r="X90" s="74"/>
      <c r="Y90" s="74"/>
    </row>
    <row r="91" spans="1:25" s="68" customFormat="1" ht="27.95" hidden="1" customHeight="1">
      <c r="A91" s="68" t="str">
        <f t="shared" si="12"/>
        <v/>
      </c>
      <c r="B91" s="69" t="str">
        <f t="shared" si="13"/>
        <v/>
      </c>
      <c r="C91" s="70"/>
      <c r="D91" s="70" t="str">
        <f t="shared" si="14"/>
        <v/>
      </c>
      <c r="E91" s="70" t="str">
        <f t="shared" si="18"/>
        <v/>
      </c>
      <c r="F91" s="70" t="s">
        <v>98</v>
      </c>
      <c r="G91" s="70" t="s">
        <v>100</v>
      </c>
      <c r="H91" s="71">
        <v>1465</v>
      </c>
      <c r="I91" s="70" t="str">
        <f t="shared" si="19"/>
        <v/>
      </c>
      <c r="J91" s="70" t="str">
        <f t="shared" ca="1" si="20"/>
        <v/>
      </c>
      <c r="K91" s="72">
        <v>508.22</v>
      </c>
      <c r="L91" s="72" t="str">
        <f t="shared" ca="1" si="21"/>
        <v>-</v>
      </c>
      <c r="M91" s="67"/>
      <c r="N91" s="67"/>
      <c r="O91" s="72" t="s">
        <v>102</v>
      </c>
      <c r="P91" s="73" t="s">
        <v>32</v>
      </c>
      <c r="Q91" s="72" t="s">
        <v>33</v>
      </c>
      <c r="R91" s="72" t="s">
        <v>37</v>
      </c>
      <c r="S91" s="70" t="s">
        <v>103</v>
      </c>
      <c r="T91" s="74"/>
      <c r="U91" s="74"/>
      <c r="V91" s="75"/>
      <c r="W91" s="74"/>
      <c r="X91" s="74"/>
      <c r="Y91" s="74"/>
    </row>
    <row r="92" spans="1:25" ht="27.95" hidden="1" customHeight="1">
      <c r="A92" s="7" t="str">
        <f t="shared" si="12"/>
        <v/>
      </c>
      <c r="B92" s="15" t="str">
        <f t="shared" si="13"/>
        <v/>
      </c>
      <c r="C92" s="19"/>
      <c r="D92" s="19" t="str">
        <f t="shared" si="14"/>
        <v/>
      </c>
      <c r="E92" s="19" t="str">
        <f t="shared" si="18"/>
        <v/>
      </c>
      <c r="F92" s="19" t="s">
        <v>38</v>
      </c>
      <c r="G92" s="19" t="s">
        <v>104</v>
      </c>
      <c r="H92" s="66">
        <v>202</v>
      </c>
      <c r="I92" s="19" t="str">
        <f t="shared" si="19"/>
        <v/>
      </c>
      <c r="J92" s="19" t="str">
        <f t="shared" ca="1" si="20"/>
        <v/>
      </c>
      <c r="K92" s="59">
        <v>1.87</v>
      </c>
      <c r="L92" s="59" t="str">
        <f t="shared" ca="1" si="21"/>
        <v>-</v>
      </c>
      <c r="M92" s="18"/>
      <c r="N92" s="18"/>
      <c r="O92" s="59" t="s">
        <v>105</v>
      </c>
      <c r="P92" s="63" t="s">
        <v>32</v>
      </c>
      <c r="Q92" s="59" t="s">
        <v>33</v>
      </c>
      <c r="R92" s="59" t="s">
        <v>37</v>
      </c>
      <c r="S92" s="19"/>
    </row>
    <row r="93" spans="1:25" ht="27.95" hidden="1" customHeight="1">
      <c r="A93" s="7" t="str">
        <f t="shared" si="12"/>
        <v/>
      </c>
      <c r="B93" s="15" t="str">
        <f t="shared" si="13"/>
        <v/>
      </c>
      <c r="C93" s="16"/>
      <c r="D93" s="19" t="str">
        <f t="shared" si="14"/>
        <v/>
      </c>
      <c r="E93" s="19" t="str">
        <f t="shared" si="18"/>
        <v/>
      </c>
      <c r="F93" s="16" t="s">
        <v>38</v>
      </c>
      <c r="G93" s="16" t="s">
        <v>104</v>
      </c>
      <c r="H93" s="17">
        <v>202</v>
      </c>
      <c r="I93" s="16" t="str">
        <f t="shared" si="19"/>
        <v/>
      </c>
      <c r="J93" s="16" t="str">
        <f t="shared" ca="1" si="20"/>
        <v/>
      </c>
      <c r="K93" s="18">
        <v>1.87</v>
      </c>
      <c r="L93" s="18" t="str">
        <f t="shared" ca="1" si="21"/>
        <v>-</v>
      </c>
      <c r="M93" s="18"/>
      <c r="N93" s="18"/>
      <c r="O93" s="18" t="s">
        <v>106</v>
      </c>
      <c r="P93" s="63" t="s">
        <v>32</v>
      </c>
      <c r="Q93" s="59" t="s">
        <v>33</v>
      </c>
      <c r="R93" s="59" t="s">
        <v>37</v>
      </c>
      <c r="S93" s="19"/>
    </row>
    <row r="94" spans="1:25" ht="27.95" hidden="1" customHeight="1">
      <c r="A94" s="7" t="str">
        <f t="shared" ref="A94:A116" si="22">IF(B94="","","PRINT")</f>
        <v/>
      </c>
      <c r="B94" s="15" t="str">
        <f t="shared" ref="B94:B116" si="23">IF(C94="","",ROW()-14)</f>
        <v/>
      </c>
      <c r="C94" s="16"/>
      <c r="D94" s="19" t="str">
        <f t="shared" ref="D94:D116" si="24">MID(C94,3,13)</f>
        <v/>
      </c>
      <c r="E94" s="19" t="str">
        <f t="shared" ref="E94:E116" si="25">MID(D94,3,7)</f>
        <v/>
      </c>
      <c r="F94" s="16" t="s">
        <v>38</v>
      </c>
      <c r="G94" s="16" t="s">
        <v>104</v>
      </c>
      <c r="H94" s="17">
        <v>202</v>
      </c>
      <c r="I94" s="16" t="str">
        <f t="shared" si="19"/>
        <v/>
      </c>
      <c r="J94" s="16" t="str">
        <f t="shared" ca="1" si="20"/>
        <v/>
      </c>
      <c r="K94" s="18">
        <v>1.87</v>
      </c>
      <c r="L94" s="18" t="str">
        <f t="shared" ca="1" si="21"/>
        <v>-</v>
      </c>
      <c r="M94" s="18"/>
      <c r="N94" s="18"/>
      <c r="O94" s="18" t="s">
        <v>107</v>
      </c>
      <c r="P94" s="63" t="s">
        <v>32</v>
      </c>
      <c r="Q94" s="59" t="s">
        <v>33</v>
      </c>
      <c r="R94" s="59" t="s">
        <v>37</v>
      </c>
      <c r="S94" s="19"/>
    </row>
    <row r="95" spans="1:25" ht="27.95" hidden="1" customHeight="1">
      <c r="A95" s="7" t="str">
        <f t="shared" si="22"/>
        <v/>
      </c>
      <c r="B95" s="15" t="str">
        <f t="shared" si="23"/>
        <v/>
      </c>
      <c r="C95" s="16"/>
      <c r="D95" s="19" t="str">
        <f t="shared" si="24"/>
        <v/>
      </c>
      <c r="E95" s="19" t="str">
        <f t="shared" si="25"/>
        <v/>
      </c>
      <c r="F95" s="16" t="s">
        <v>38</v>
      </c>
      <c r="G95" s="16" t="s">
        <v>104</v>
      </c>
      <c r="H95" s="17">
        <v>202</v>
      </c>
      <c r="I95" s="16" t="str">
        <f t="shared" si="19"/>
        <v/>
      </c>
      <c r="J95" s="16" t="str">
        <f t="shared" ca="1" si="20"/>
        <v/>
      </c>
      <c r="K95" s="18">
        <v>1.87</v>
      </c>
      <c r="L95" s="18" t="str">
        <f t="shared" ca="1" si="21"/>
        <v>-</v>
      </c>
      <c r="M95" s="18"/>
      <c r="N95" s="18"/>
      <c r="O95" s="18" t="s">
        <v>108</v>
      </c>
      <c r="P95" s="63" t="s">
        <v>32</v>
      </c>
      <c r="Q95" s="59" t="s">
        <v>33</v>
      </c>
      <c r="R95" s="59" t="s">
        <v>37</v>
      </c>
      <c r="S95" s="19"/>
    </row>
    <row r="96" spans="1:25" ht="27.95" hidden="1" customHeight="1">
      <c r="A96" s="7" t="str">
        <f t="shared" si="22"/>
        <v/>
      </c>
      <c r="B96" s="15" t="str">
        <f t="shared" si="23"/>
        <v/>
      </c>
      <c r="C96" s="16"/>
      <c r="D96" s="19" t="str">
        <f t="shared" si="24"/>
        <v/>
      </c>
      <c r="E96" s="19" t="str">
        <f t="shared" si="25"/>
        <v/>
      </c>
      <c r="F96" s="16" t="s">
        <v>38</v>
      </c>
      <c r="G96" s="16" t="s">
        <v>104</v>
      </c>
      <c r="H96" s="17">
        <v>202</v>
      </c>
      <c r="I96" s="16" t="str">
        <f t="shared" si="19"/>
        <v/>
      </c>
      <c r="J96" s="16" t="str">
        <f t="shared" ca="1" si="20"/>
        <v/>
      </c>
      <c r="K96" s="18">
        <v>1.87</v>
      </c>
      <c r="L96" s="18" t="str">
        <f t="shared" ca="1" si="21"/>
        <v>-</v>
      </c>
      <c r="M96" s="18"/>
      <c r="N96" s="18"/>
      <c r="O96" s="18" t="s">
        <v>109</v>
      </c>
      <c r="P96" s="63" t="s">
        <v>32</v>
      </c>
      <c r="Q96" s="59" t="s">
        <v>33</v>
      </c>
      <c r="R96" s="59" t="s">
        <v>37</v>
      </c>
      <c r="S96" s="19"/>
    </row>
    <row r="97" spans="1:19" ht="27.95" hidden="1" customHeight="1">
      <c r="A97" s="7" t="str">
        <f t="shared" si="22"/>
        <v/>
      </c>
      <c r="B97" s="15" t="str">
        <f t="shared" si="23"/>
        <v/>
      </c>
      <c r="C97" s="16"/>
      <c r="D97" s="19" t="str">
        <f t="shared" si="24"/>
        <v/>
      </c>
      <c r="E97" s="19" t="str">
        <f t="shared" si="25"/>
        <v/>
      </c>
      <c r="F97" s="16" t="s">
        <v>38</v>
      </c>
      <c r="G97" s="16" t="s">
        <v>104</v>
      </c>
      <c r="H97" s="17">
        <v>202</v>
      </c>
      <c r="I97" s="16" t="str">
        <f t="shared" si="19"/>
        <v/>
      </c>
      <c r="J97" s="16" t="str">
        <f t="shared" ca="1" si="20"/>
        <v/>
      </c>
      <c r="K97" s="18">
        <v>1.87</v>
      </c>
      <c r="L97" s="18" t="str">
        <f t="shared" ca="1" si="21"/>
        <v>-</v>
      </c>
      <c r="M97" s="18"/>
      <c r="N97" s="18"/>
      <c r="O97" s="18" t="s">
        <v>110</v>
      </c>
      <c r="P97" s="63" t="s">
        <v>32</v>
      </c>
      <c r="Q97" s="59" t="s">
        <v>33</v>
      </c>
      <c r="R97" s="59" t="s">
        <v>37</v>
      </c>
      <c r="S97" s="19"/>
    </row>
    <row r="98" spans="1:19" ht="27.95" hidden="1" customHeight="1">
      <c r="A98" s="7" t="str">
        <f t="shared" si="22"/>
        <v/>
      </c>
      <c r="B98" s="15" t="str">
        <f t="shared" si="23"/>
        <v/>
      </c>
      <c r="C98" s="16"/>
      <c r="D98" s="19" t="str">
        <f t="shared" si="24"/>
        <v/>
      </c>
      <c r="E98" s="19" t="str">
        <f t="shared" si="25"/>
        <v/>
      </c>
      <c r="F98" s="16" t="s">
        <v>38</v>
      </c>
      <c r="G98" s="16" t="s">
        <v>39</v>
      </c>
      <c r="H98" s="17">
        <v>460</v>
      </c>
      <c r="I98" s="16" t="str">
        <f t="shared" ref="I98:I113" si="26">IF(E98="", "", "PCS")</f>
        <v/>
      </c>
      <c r="J98" s="16" t="str">
        <f t="shared" ref="J98:J113" ca="1" si="27">IF(E98="","",RANDBETWEEN(1,1))</f>
        <v/>
      </c>
      <c r="K98" s="18">
        <v>2.89</v>
      </c>
      <c r="L98" s="18" t="str">
        <f t="shared" ref="L98:L113" ca="1" si="28">IFERROR(K98*J98,"-")</f>
        <v>-</v>
      </c>
      <c r="M98" s="18"/>
      <c r="N98" s="18"/>
      <c r="O98" s="18" t="s">
        <v>40</v>
      </c>
      <c r="P98" s="63" t="s">
        <v>32</v>
      </c>
      <c r="Q98" s="59"/>
      <c r="R98" s="59" t="s">
        <v>59</v>
      </c>
      <c r="S98" s="19"/>
    </row>
    <row r="99" spans="1:19" ht="27.95" hidden="1" customHeight="1">
      <c r="A99" s="7" t="str">
        <f t="shared" si="22"/>
        <v/>
      </c>
      <c r="B99" s="15" t="str">
        <f t="shared" si="23"/>
        <v/>
      </c>
      <c r="C99" s="16"/>
      <c r="D99" s="19" t="str">
        <f t="shared" si="24"/>
        <v/>
      </c>
      <c r="E99" s="19" t="str">
        <f t="shared" si="25"/>
        <v/>
      </c>
      <c r="F99" s="16" t="s">
        <v>38</v>
      </c>
      <c r="G99" s="16" t="s">
        <v>39</v>
      </c>
      <c r="H99" s="17">
        <v>460</v>
      </c>
      <c r="I99" s="16" t="str">
        <f t="shared" si="26"/>
        <v/>
      </c>
      <c r="J99" s="16" t="str">
        <f t="shared" ca="1" si="27"/>
        <v/>
      </c>
      <c r="K99" s="18">
        <v>2.89</v>
      </c>
      <c r="L99" s="18" t="str">
        <f t="shared" ca="1" si="28"/>
        <v>-</v>
      </c>
      <c r="M99" s="18"/>
      <c r="N99" s="18"/>
      <c r="O99" s="18" t="s">
        <v>41</v>
      </c>
      <c r="P99" s="63" t="s">
        <v>32</v>
      </c>
      <c r="Q99" s="59"/>
      <c r="R99" s="59" t="s">
        <v>59</v>
      </c>
      <c r="S99" s="19"/>
    </row>
    <row r="100" spans="1:19" ht="27.95" hidden="1" customHeight="1">
      <c r="A100" s="7" t="str">
        <f t="shared" si="22"/>
        <v/>
      </c>
      <c r="B100" s="15" t="str">
        <f t="shared" si="23"/>
        <v/>
      </c>
      <c r="C100" s="16"/>
      <c r="D100" s="19" t="str">
        <f t="shared" si="24"/>
        <v/>
      </c>
      <c r="E100" s="19" t="str">
        <f t="shared" si="25"/>
        <v/>
      </c>
      <c r="F100" s="16" t="s">
        <v>38</v>
      </c>
      <c r="G100" s="16" t="s">
        <v>39</v>
      </c>
      <c r="H100" s="17">
        <v>460</v>
      </c>
      <c r="I100" s="16" t="str">
        <f t="shared" si="26"/>
        <v/>
      </c>
      <c r="J100" s="16" t="str">
        <f t="shared" ca="1" si="27"/>
        <v/>
      </c>
      <c r="K100" s="18">
        <v>2.89</v>
      </c>
      <c r="L100" s="18" t="str">
        <f t="shared" ca="1" si="28"/>
        <v>-</v>
      </c>
      <c r="M100" s="18"/>
      <c r="N100" s="18"/>
      <c r="O100" s="18" t="s">
        <v>42</v>
      </c>
      <c r="P100" s="63" t="s">
        <v>32</v>
      </c>
      <c r="Q100" s="59"/>
      <c r="R100" s="59" t="s">
        <v>59</v>
      </c>
      <c r="S100" s="19"/>
    </row>
    <row r="101" spans="1:19" ht="27.95" hidden="1" customHeight="1">
      <c r="A101" s="7" t="str">
        <f t="shared" si="22"/>
        <v/>
      </c>
      <c r="B101" s="15" t="str">
        <f t="shared" si="23"/>
        <v/>
      </c>
      <c r="C101" s="16"/>
      <c r="D101" s="19" t="str">
        <f t="shared" si="24"/>
        <v/>
      </c>
      <c r="E101" s="19" t="str">
        <f t="shared" si="25"/>
        <v/>
      </c>
      <c r="F101" s="16" t="s">
        <v>38</v>
      </c>
      <c r="G101" s="16" t="s">
        <v>39</v>
      </c>
      <c r="H101" s="17">
        <v>460</v>
      </c>
      <c r="I101" s="16" t="str">
        <f t="shared" si="26"/>
        <v/>
      </c>
      <c r="J101" s="16" t="str">
        <f t="shared" ca="1" si="27"/>
        <v/>
      </c>
      <c r="K101" s="18">
        <v>2.89</v>
      </c>
      <c r="L101" s="18" t="str">
        <f t="shared" ca="1" si="28"/>
        <v>-</v>
      </c>
      <c r="M101" s="18"/>
      <c r="N101" s="18"/>
      <c r="O101" s="18" t="s">
        <v>43</v>
      </c>
      <c r="P101" s="63" t="s">
        <v>32</v>
      </c>
      <c r="Q101" s="59"/>
      <c r="R101" s="59" t="s">
        <v>59</v>
      </c>
      <c r="S101" s="19"/>
    </row>
    <row r="102" spans="1:19" ht="27.95" hidden="1" customHeight="1">
      <c r="A102" s="7" t="str">
        <f t="shared" si="22"/>
        <v/>
      </c>
      <c r="B102" s="15" t="str">
        <f t="shared" si="23"/>
        <v/>
      </c>
      <c r="C102" s="16"/>
      <c r="D102" s="19" t="str">
        <f t="shared" si="24"/>
        <v/>
      </c>
      <c r="E102" s="19" t="str">
        <f t="shared" si="25"/>
        <v/>
      </c>
      <c r="F102" s="16" t="s">
        <v>38</v>
      </c>
      <c r="G102" s="16" t="s">
        <v>39</v>
      </c>
      <c r="H102" s="17">
        <v>460</v>
      </c>
      <c r="I102" s="16" t="str">
        <f t="shared" si="26"/>
        <v/>
      </c>
      <c r="J102" s="16" t="str">
        <f t="shared" ca="1" si="27"/>
        <v/>
      </c>
      <c r="K102" s="18">
        <v>2.89</v>
      </c>
      <c r="L102" s="18" t="str">
        <f t="shared" ca="1" si="28"/>
        <v>-</v>
      </c>
      <c r="M102" s="18"/>
      <c r="N102" s="18"/>
      <c r="O102" s="18" t="s">
        <v>44</v>
      </c>
      <c r="P102" s="63" t="s">
        <v>32</v>
      </c>
      <c r="Q102" s="59"/>
      <c r="R102" s="59" t="s">
        <v>59</v>
      </c>
      <c r="S102" s="19"/>
    </row>
    <row r="103" spans="1:19" ht="27.95" hidden="1" customHeight="1">
      <c r="A103" s="7" t="str">
        <f t="shared" si="22"/>
        <v/>
      </c>
      <c r="B103" s="15" t="str">
        <f t="shared" si="23"/>
        <v/>
      </c>
      <c r="C103" s="16"/>
      <c r="D103" s="19" t="str">
        <f t="shared" si="24"/>
        <v/>
      </c>
      <c r="E103" s="19" t="str">
        <f t="shared" si="25"/>
        <v/>
      </c>
      <c r="F103" s="16" t="s">
        <v>38</v>
      </c>
      <c r="G103" s="16" t="s">
        <v>39</v>
      </c>
      <c r="H103" s="17">
        <v>460</v>
      </c>
      <c r="I103" s="16" t="str">
        <f t="shared" si="26"/>
        <v/>
      </c>
      <c r="J103" s="16" t="str">
        <f t="shared" ca="1" si="27"/>
        <v/>
      </c>
      <c r="K103" s="18">
        <v>2.89</v>
      </c>
      <c r="L103" s="18" t="str">
        <f t="shared" ca="1" si="28"/>
        <v>-</v>
      </c>
      <c r="M103" s="18"/>
      <c r="N103" s="18"/>
      <c r="O103" s="18" t="s">
        <v>45</v>
      </c>
      <c r="P103" s="63" t="s">
        <v>32</v>
      </c>
      <c r="Q103" s="59"/>
      <c r="R103" s="59" t="s">
        <v>59</v>
      </c>
      <c r="S103" s="19"/>
    </row>
    <row r="104" spans="1:19" ht="27.95" hidden="1" customHeight="1">
      <c r="A104" s="7" t="str">
        <f t="shared" si="22"/>
        <v/>
      </c>
      <c r="B104" s="15" t="str">
        <f t="shared" si="23"/>
        <v/>
      </c>
      <c r="C104" s="16"/>
      <c r="D104" s="19" t="str">
        <f t="shared" si="24"/>
        <v/>
      </c>
      <c r="E104" s="19" t="str">
        <f t="shared" si="25"/>
        <v/>
      </c>
      <c r="F104" s="16" t="s">
        <v>38</v>
      </c>
      <c r="G104" s="16" t="s">
        <v>39</v>
      </c>
      <c r="H104" s="17">
        <v>460</v>
      </c>
      <c r="I104" s="16" t="str">
        <f t="shared" si="26"/>
        <v/>
      </c>
      <c r="J104" s="16" t="str">
        <f t="shared" ca="1" si="27"/>
        <v/>
      </c>
      <c r="K104" s="18">
        <v>2.89</v>
      </c>
      <c r="L104" s="18" t="str">
        <f t="shared" ca="1" si="28"/>
        <v>-</v>
      </c>
      <c r="M104" s="18"/>
      <c r="N104" s="18"/>
      <c r="O104" s="18" t="s">
        <v>46</v>
      </c>
      <c r="P104" s="63" t="s">
        <v>32</v>
      </c>
      <c r="Q104" s="59"/>
      <c r="R104" s="59" t="s">
        <v>59</v>
      </c>
      <c r="S104" s="19"/>
    </row>
    <row r="105" spans="1:19" ht="27.95" hidden="1" customHeight="1">
      <c r="A105" s="7" t="str">
        <f t="shared" si="22"/>
        <v/>
      </c>
      <c r="B105" s="15" t="str">
        <f t="shared" si="23"/>
        <v/>
      </c>
      <c r="C105" s="16"/>
      <c r="D105" s="19" t="str">
        <f t="shared" si="24"/>
        <v/>
      </c>
      <c r="E105" s="19" t="str">
        <f t="shared" si="25"/>
        <v/>
      </c>
      <c r="F105" s="16" t="s">
        <v>38</v>
      </c>
      <c r="G105" s="16" t="s">
        <v>39</v>
      </c>
      <c r="H105" s="17">
        <v>460</v>
      </c>
      <c r="I105" s="16" t="str">
        <f t="shared" si="26"/>
        <v/>
      </c>
      <c r="J105" s="16" t="str">
        <f t="shared" ca="1" si="27"/>
        <v/>
      </c>
      <c r="K105" s="18">
        <v>2.89</v>
      </c>
      <c r="L105" s="18" t="str">
        <f t="shared" ca="1" si="28"/>
        <v>-</v>
      </c>
      <c r="M105" s="18"/>
      <c r="N105" s="18"/>
      <c r="O105" s="18" t="s">
        <v>47</v>
      </c>
      <c r="P105" s="63" t="s">
        <v>32</v>
      </c>
      <c r="Q105" s="59"/>
      <c r="R105" s="59" t="s">
        <v>59</v>
      </c>
      <c r="S105" s="19"/>
    </row>
    <row r="106" spans="1:19" ht="27.95" hidden="1" customHeight="1">
      <c r="A106" s="7" t="str">
        <f t="shared" si="22"/>
        <v/>
      </c>
      <c r="B106" s="15" t="str">
        <f t="shared" si="23"/>
        <v/>
      </c>
      <c r="C106" s="16"/>
      <c r="D106" s="19" t="str">
        <f t="shared" si="24"/>
        <v/>
      </c>
      <c r="E106" s="19" t="str">
        <f t="shared" si="25"/>
        <v/>
      </c>
      <c r="F106" s="16" t="s">
        <v>38</v>
      </c>
      <c r="G106" s="16" t="s">
        <v>39</v>
      </c>
      <c r="H106" s="17">
        <v>460</v>
      </c>
      <c r="I106" s="16" t="str">
        <f t="shared" si="26"/>
        <v/>
      </c>
      <c r="J106" s="16" t="str">
        <f t="shared" ca="1" si="27"/>
        <v/>
      </c>
      <c r="K106" s="18">
        <v>2.89</v>
      </c>
      <c r="L106" s="18" t="str">
        <f t="shared" ca="1" si="28"/>
        <v>-</v>
      </c>
      <c r="M106" s="18"/>
      <c r="N106" s="18"/>
      <c r="O106" s="18" t="s">
        <v>48</v>
      </c>
      <c r="P106" s="63" t="s">
        <v>32</v>
      </c>
      <c r="Q106" s="59"/>
      <c r="R106" s="59" t="s">
        <v>59</v>
      </c>
      <c r="S106" s="19"/>
    </row>
    <row r="107" spans="1:19" ht="27.95" hidden="1" customHeight="1">
      <c r="A107" s="7" t="str">
        <f t="shared" si="22"/>
        <v/>
      </c>
      <c r="B107" s="15" t="str">
        <f t="shared" si="23"/>
        <v/>
      </c>
      <c r="C107" s="16"/>
      <c r="D107" s="19" t="str">
        <f t="shared" si="24"/>
        <v/>
      </c>
      <c r="E107" s="19" t="str">
        <f t="shared" si="25"/>
        <v/>
      </c>
      <c r="F107" s="16" t="s">
        <v>38</v>
      </c>
      <c r="G107" s="16" t="s">
        <v>39</v>
      </c>
      <c r="H107" s="17">
        <v>460</v>
      </c>
      <c r="I107" s="16" t="str">
        <f t="shared" si="26"/>
        <v/>
      </c>
      <c r="J107" s="16" t="str">
        <f t="shared" ca="1" si="27"/>
        <v/>
      </c>
      <c r="K107" s="18">
        <v>2.89</v>
      </c>
      <c r="L107" s="18" t="str">
        <f t="shared" ca="1" si="28"/>
        <v>-</v>
      </c>
      <c r="M107" s="18"/>
      <c r="N107" s="18"/>
      <c r="O107" s="18" t="s">
        <v>49</v>
      </c>
      <c r="P107" s="63" t="s">
        <v>32</v>
      </c>
      <c r="Q107" s="59"/>
      <c r="R107" s="59" t="s">
        <v>59</v>
      </c>
      <c r="S107" s="19"/>
    </row>
    <row r="108" spans="1:19" ht="27.95" hidden="1" customHeight="1">
      <c r="A108" s="7" t="str">
        <f t="shared" si="22"/>
        <v/>
      </c>
      <c r="B108" s="15" t="str">
        <f t="shared" si="23"/>
        <v/>
      </c>
      <c r="C108" s="16"/>
      <c r="D108" s="19" t="str">
        <f t="shared" si="24"/>
        <v/>
      </c>
      <c r="E108" s="19" t="str">
        <f t="shared" si="25"/>
        <v/>
      </c>
      <c r="F108" s="16" t="s">
        <v>38</v>
      </c>
      <c r="G108" s="16" t="s">
        <v>39</v>
      </c>
      <c r="H108" s="17">
        <v>460</v>
      </c>
      <c r="I108" s="16" t="str">
        <f t="shared" si="26"/>
        <v/>
      </c>
      <c r="J108" s="16" t="str">
        <f t="shared" ca="1" si="27"/>
        <v/>
      </c>
      <c r="K108" s="18">
        <v>2.89</v>
      </c>
      <c r="L108" s="18" t="str">
        <f t="shared" ca="1" si="28"/>
        <v>-</v>
      </c>
      <c r="M108" s="18"/>
      <c r="N108" s="18"/>
      <c r="O108" s="18" t="s">
        <v>50</v>
      </c>
      <c r="P108" s="63" t="s">
        <v>32</v>
      </c>
      <c r="Q108" s="59"/>
      <c r="R108" s="59" t="s">
        <v>59</v>
      </c>
      <c r="S108" s="19"/>
    </row>
    <row r="109" spans="1:19" ht="27.95" hidden="1" customHeight="1">
      <c r="A109" s="7" t="str">
        <f t="shared" si="22"/>
        <v/>
      </c>
      <c r="B109" s="15" t="str">
        <f t="shared" si="23"/>
        <v/>
      </c>
      <c r="C109" s="16"/>
      <c r="D109" s="19" t="str">
        <f t="shared" si="24"/>
        <v/>
      </c>
      <c r="E109" s="19" t="str">
        <f t="shared" si="25"/>
        <v/>
      </c>
      <c r="F109" s="16" t="s">
        <v>38</v>
      </c>
      <c r="G109" s="16" t="s">
        <v>39</v>
      </c>
      <c r="H109" s="17">
        <v>460</v>
      </c>
      <c r="I109" s="16" t="str">
        <f t="shared" si="26"/>
        <v/>
      </c>
      <c r="J109" s="16" t="str">
        <f t="shared" ca="1" si="27"/>
        <v/>
      </c>
      <c r="K109" s="18">
        <v>2.89</v>
      </c>
      <c r="L109" s="18" t="str">
        <f t="shared" ca="1" si="28"/>
        <v>-</v>
      </c>
      <c r="M109" s="18"/>
      <c r="N109" s="18"/>
      <c r="O109" s="18" t="s">
        <v>51</v>
      </c>
      <c r="P109" s="63" t="s">
        <v>32</v>
      </c>
      <c r="Q109" s="59"/>
      <c r="R109" s="59" t="s">
        <v>59</v>
      </c>
      <c r="S109" s="19"/>
    </row>
    <row r="110" spans="1:19" ht="27.95" hidden="1" customHeight="1">
      <c r="A110" s="7" t="str">
        <f t="shared" si="22"/>
        <v/>
      </c>
      <c r="B110" s="15" t="str">
        <f t="shared" si="23"/>
        <v/>
      </c>
      <c r="C110" s="16"/>
      <c r="D110" s="19" t="str">
        <f t="shared" si="24"/>
        <v/>
      </c>
      <c r="E110" s="19" t="str">
        <f t="shared" si="25"/>
        <v/>
      </c>
      <c r="F110" s="16" t="s">
        <v>38</v>
      </c>
      <c r="G110" s="16" t="s">
        <v>39</v>
      </c>
      <c r="H110" s="17">
        <v>460</v>
      </c>
      <c r="I110" s="16" t="str">
        <f t="shared" si="26"/>
        <v/>
      </c>
      <c r="J110" s="16" t="str">
        <f t="shared" ca="1" si="27"/>
        <v/>
      </c>
      <c r="K110" s="18">
        <v>2.89</v>
      </c>
      <c r="L110" s="18" t="str">
        <f t="shared" ca="1" si="28"/>
        <v>-</v>
      </c>
      <c r="M110" s="18"/>
      <c r="N110" s="18"/>
      <c r="O110" s="18" t="s">
        <v>52</v>
      </c>
      <c r="P110" s="63" t="s">
        <v>32</v>
      </c>
      <c r="Q110" s="59"/>
      <c r="R110" s="59" t="s">
        <v>59</v>
      </c>
      <c r="S110" s="19"/>
    </row>
    <row r="111" spans="1:19" ht="27.95" hidden="1" customHeight="1">
      <c r="A111" s="7" t="str">
        <f t="shared" si="22"/>
        <v/>
      </c>
      <c r="B111" s="15" t="str">
        <f t="shared" si="23"/>
        <v/>
      </c>
      <c r="C111" s="16"/>
      <c r="D111" s="19" t="str">
        <f t="shared" si="24"/>
        <v/>
      </c>
      <c r="E111" s="19" t="str">
        <f t="shared" si="25"/>
        <v/>
      </c>
      <c r="F111" s="16" t="s">
        <v>38</v>
      </c>
      <c r="G111" s="16" t="s">
        <v>39</v>
      </c>
      <c r="H111" s="17">
        <v>460</v>
      </c>
      <c r="I111" s="16" t="str">
        <f t="shared" si="26"/>
        <v/>
      </c>
      <c r="J111" s="16" t="str">
        <f t="shared" ca="1" si="27"/>
        <v/>
      </c>
      <c r="K111" s="18">
        <v>2.89</v>
      </c>
      <c r="L111" s="18" t="str">
        <f t="shared" ca="1" si="28"/>
        <v>-</v>
      </c>
      <c r="M111" s="18"/>
      <c r="N111" s="18"/>
      <c r="O111" s="18" t="s">
        <v>53</v>
      </c>
      <c r="P111" s="63" t="s">
        <v>32</v>
      </c>
      <c r="Q111" s="59"/>
      <c r="R111" s="59" t="s">
        <v>59</v>
      </c>
      <c r="S111" s="19"/>
    </row>
    <row r="112" spans="1:19" ht="27.95" hidden="1" customHeight="1">
      <c r="A112" s="7" t="str">
        <f t="shared" si="22"/>
        <v/>
      </c>
      <c r="B112" s="15" t="str">
        <f t="shared" si="23"/>
        <v/>
      </c>
      <c r="C112" s="16"/>
      <c r="D112" s="19" t="str">
        <f t="shared" si="24"/>
        <v/>
      </c>
      <c r="E112" s="19" t="str">
        <f t="shared" si="25"/>
        <v/>
      </c>
      <c r="F112" s="16" t="s">
        <v>38</v>
      </c>
      <c r="G112" s="16" t="s">
        <v>39</v>
      </c>
      <c r="H112" s="17">
        <v>460</v>
      </c>
      <c r="I112" s="16" t="str">
        <f t="shared" si="26"/>
        <v/>
      </c>
      <c r="J112" s="16" t="str">
        <f t="shared" ca="1" si="27"/>
        <v/>
      </c>
      <c r="K112" s="18">
        <v>2.89</v>
      </c>
      <c r="L112" s="18" t="str">
        <f t="shared" ca="1" si="28"/>
        <v>-</v>
      </c>
      <c r="M112" s="18"/>
      <c r="N112" s="18"/>
      <c r="O112" s="18" t="s">
        <v>54</v>
      </c>
      <c r="P112" s="63" t="s">
        <v>32</v>
      </c>
      <c r="Q112" s="59"/>
      <c r="R112" s="59" t="s">
        <v>59</v>
      </c>
      <c r="S112" s="19"/>
    </row>
    <row r="113" spans="1:19" ht="27.95" hidden="1" customHeight="1">
      <c r="A113" s="7" t="str">
        <f t="shared" si="22"/>
        <v/>
      </c>
      <c r="B113" s="15" t="str">
        <f t="shared" si="23"/>
        <v/>
      </c>
      <c r="C113" s="16"/>
      <c r="D113" s="19" t="str">
        <f t="shared" si="24"/>
        <v/>
      </c>
      <c r="E113" s="19" t="str">
        <f t="shared" si="25"/>
        <v/>
      </c>
      <c r="F113" s="16" t="s">
        <v>38</v>
      </c>
      <c r="G113" s="16" t="s">
        <v>39</v>
      </c>
      <c r="H113" s="17">
        <v>460</v>
      </c>
      <c r="I113" s="16" t="str">
        <f t="shared" si="26"/>
        <v/>
      </c>
      <c r="J113" s="16" t="str">
        <f t="shared" ca="1" si="27"/>
        <v/>
      </c>
      <c r="K113" s="18">
        <v>2.89</v>
      </c>
      <c r="L113" s="18" t="str">
        <f t="shared" ca="1" si="28"/>
        <v>-</v>
      </c>
      <c r="M113" s="18"/>
      <c r="N113" s="18"/>
      <c r="O113" s="18" t="s">
        <v>55</v>
      </c>
      <c r="P113" s="63" t="s">
        <v>32</v>
      </c>
      <c r="Q113" s="59"/>
      <c r="R113" s="59" t="s">
        <v>59</v>
      </c>
      <c r="S113" s="19"/>
    </row>
    <row r="114" spans="1:19" ht="27.95" hidden="1" customHeight="1">
      <c r="A114" s="7" t="str">
        <f t="shared" si="22"/>
        <v/>
      </c>
      <c r="B114" s="15" t="str">
        <f t="shared" si="23"/>
        <v/>
      </c>
      <c r="C114" s="16"/>
      <c r="D114" s="19" t="str">
        <f t="shared" si="24"/>
        <v/>
      </c>
      <c r="E114" s="19" t="str">
        <f t="shared" si="25"/>
        <v/>
      </c>
      <c r="F114" s="16" t="s">
        <v>38</v>
      </c>
      <c r="G114" s="16" t="s">
        <v>39</v>
      </c>
      <c r="H114" s="17">
        <v>460</v>
      </c>
      <c r="I114" s="16" t="str">
        <f t="shared" ref="I114:I116" si="29">IF(E114="", "", "PCS")</f>
        <v/>
      </c>
      <c r="J114" s="16" t="str">
        <f t="shared" ref="J114:J116" ca="1" si="30">IF(E114="","",RANDBETWEEN(1,1))</f>
        <v/>
      </c>
      <c r="K114" s="18">
        <v>2.89</v>
      </c>
      <c r="L114" s="18" t="str">
        <f t="shared" ref="L114:L116" ca="1" si="31">IFERROR(K114*J114,"-")</f>
        <v>-</v>
      </c>
      <c r="M114" s="18"/>
      <c r="N114" s="18"/>
      <c r="O114" s="18" t="s">
        <v>56</v>
      </c>
      <c r="P114" s="63" t="s">
        <v>32</v>
      </c>
      <c r="Q114" s="59"/>
      <c r="R114" s="59" t="s">
        <v>59</v>
      </c>
      <c r="S114" s="19"/>
    </row>
    <row r="115" spans="1:19" ht="27.95" hidden="1" customHeight="1">
      <c r="A115" s="7" t="str">
        <f t="shared" si="22"/>
        <v/>
      </c>
      <c r="B115" s="15" t="str">
        <f t="shared" si="23"/>
        <v/>
      </c>
      <c r="C115" s="16"/>
      <c r="D115" s="19" t="str">
        <f t="shared" si="24"/>
        <v/>
      </c>
      <c r="E115" s="19" t="str">
        <f t="shared" si="25"/>
        <v/>
      </c>
      <c r="F115" s="16" t="s">
        <v>38</v>
      </c>
      <c r="G115" s="16" t="s">
        <v>39</v>
      </c>
      <c r="H115" s="17">
        <v>460</v>
      </c>
      <c r="I115" s="16" t="str">
        <f t="shared" si="29"/>
        <v/>
      </c>
      <c r="J115" s="16" t="str">
        <f t="shared" ca="1" si="30"/>
        <v/>
      </c>
      <c r="K115" s="18">
        <v>2.89</v>
      </c>
      <c r="L115" s="18" t="str">
        <f t="shared" ca="1" si="31"/>
        <v>-</v>
      </c>
      <c r="M115" s="18"/>
      <c r="N115" s="18"/>
      <c r="O115" s="18" t="s">
        <v>57</v>
      </c>
      <c r="P115" s="63" t="s">
        <v>32</v>
      </c>
      <c r="Q115" s="59"/>
      <c r="R115" s="59" t="s">
        <v>59</v>
      </c>
      <c r="S115" s="19"/>
    </row>
    <row r="116" spans="1:19" ht="27.95" hidden="1" customHeight="1">
      <c r="A116" s="7" t="str">
        <f t="shared" si="22"/>
        <v/>
      </c>
      <c r="B116" s="15" t="str">
        <f t="shared" si="23"/>
        <v/>
      </c>
      <c r="C116" s="16"/>
      <c r="D116" s="19" t="str">
        <f t="shared" si="24"/>
        <v/>
      </c>
      <c r="E116" s="19" t="str">
        <f t="shared" si="25"/>
        <v/>
      </c>
      <c r="F116" s="16" t="s">
        <v>38</v>
      </c>
      <c r="G116" s="16" t="s">
        <v>39</v>
      </c>
      <c r="H116" s="17">
        <v>460</v>
      </c>
      <c r="I116" s="16" t="str">
        <f t="shared" si="29"/>
        <v/>
      </c>
      <c r="J116" s="16" t="str">
        <f t="shared" ca="1" si="30"/>
        <v/>
      </c>
      <c r="K116" s="18">
        <v>2.89</v>
      </c>
      <c r="L116" s="18" t="str">
        <f t="shared" ca="1" si="31"/>
        <v>-</v>
      </c>
      <c r="M116" s="18"/>
      <c r="N116" s="18"/>
      <c r="O116" s="18" t="s">
        <v>58</v>
      </c>
      <c r="P116" s="63" t="s">
        <v>32</v>
      </c>
      <c r="Q116" s="59"/>
      <c r="R116" s="59" t="s">
        <v>59</v>
      </c>
      <c r="S116" s="19"/>
    </row>
    <row r="117" spans="1:19" ht="27.95" hidden="1" customHeight="1">
      <c r="A117" s="7" t="str">
        <f t="shared" ref="A117:A152" si="32">IF(B117="","","PRINT")</f>
        <v/>
      </c>
      <c r="B117" s="15"/>
      <c r="C117" s="16"/>
      <c r="D117" s="16"/>
      <c r="E117" s="16"/>
      <c r="F117" s="16"/>
      <c r="G117" s="16"/>
      <c r="H117" s="17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19"/>
    </row>
    <row r="118" spans="1:19" ht="27.95" hidden="1" customHeight="1">
      <c r="A118" s="7" t="str">
        <f t="shared" si="32"/>
        <v/>
      </c>
      <c r="B118" s="15"/>
      <c r="C118" s="16"/>
      <c r="D118" s="16"/>
      <c r="E118" s="16"/>
      <c r="F118" s="16"/>
      <c r="G118" s="16"/>
      <c r="H118" s="17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19"/>
    </row>
    <row r="119" spans="1:19" ht="27.95" hidden="1" customHeight="1">
      <c r="A119" s="7" t="str">
        <f t="shared" si="32"/>
        <v/>
      </c>
      <c r="B119" s="15"/>
      <c r="C119" s="16"/>
      <c r="D119" s="16"/>
      <c r="E119" s="16"/>
      <c r="F119" s="16"/>
      <c r="G119" s="16"/>
      <c r="H119" s="17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19"/>
    </row>
    <row r="120" spans="1:19" ht="27.95" hidden="1" customHeight="1">
      <c r="A120" s="7" t="str">
        <f t="shared" si="32"/>
        <v/>
      </c>
      <c r="B120" s="15"/>
      <c r="C120" s="16"/>
      <c r="D120" s="16"/>
      <c r="E120" s="16"/>
      <c r="F120" s="16"/>
      <c r="G120" s="16"/>
      <c r="H120" s="17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19"/>
    </row>
    <row r="121" spans="1:19" ht="27.95" hidden="1" customHeight="1">
      <c r="A121" s="7" t="str">
        <f t="shared" si="32"/>
        <v/>
      </c>
      <c r="B121" s="15"/>
      <c r="C121" s="16"/>
      <c r="D121" s="16"/>
      <c r="E121" s="16"/>
      <c r="F121" s="16"/>
      <c r="G121" s="16"/>
      <c r="H121" s="17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19"/>
    </row>
    <row r="122" spans="1:19" ht="27.95" hidden="1" customHeight="1">
      <c r="A122" s="7" t="str">
        <f t="shared" si="32"/>
        <v/>
      </c>
      <c r="B122" s="15"/>
      <c r="C122" s="16"/>
      <c r="D122" s="16"/>
      <c r="E122" s="16"/>
      <c r="F122" s="16"/>
      <c r="G122" s="16"/>
      <c r="H122" s="17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19"/>
    </row>
    <row r="123" spans="1:19" ht="27.95" hidden="1" customHeight="1">
      <c r="A123" s="7" t="str">
        <f t="shared" si="32"/>
        <v/>
      </c>
      <c r="B123" s="15"/>
      <c r="C123" s="16"/>
      <c r="D123" s="16"/>
      <c r="E123" s="16"/>
      <c r="F123" s="16"/>
      <c r="G123" s="16"/>
      <c r="H123" s="17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19"/>
    </row>
    <row r="124" spans="1:19" ht="27.95" hidden="1" customHeight="1">
      <c r="A124" s="7" t="str">
        <f t="shared" si="32"/>
        <v/>
      </c>
      <c r="B124" s="15"/>
      <c r="C124" s="16"/>
      <c r="D124" s="16"/>
      <c r="E124" s="16"/>
      <c r="F124" s="16"/>
      <c r="G124" s="16"/>
      <c r="H124" s="17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19"/>
    </row>
    <row r="125" spans="1:19" ht="27.95" hidden="1" customHeight="1">
      <c r="A125" s="7" t="str">
        <f t="shared" si="32"/>
        <v/>
      </c>
      <c r="B125" s="15"/>
      <c r="C125" s="16"/>
      <c r="D125" s="16"/>
      <c r="E125" s="16"/>
      <c r="F125" s="16"/>
      <c r="G125" s="16"/>
      <c r="H125" s="17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19"/>
    </row>
    <row r="126" spans="1:19" ht="27.95" hidden="1" customHeight="1">
      <c r="A126" s="7" t="str">
        <f t="shared" si="32"/>
        <v/>
      </c>
      <c r="B126" s="15"/>
      <c r="C126" s="16"/>
      <c r="D126" s="16"/>
      <c r="E126" s="16"/>
      <c r="F126" s="16"/>
      <c r="G126" s="16"/>
      <c r="H126" s="17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19"/>
    </row>
    <row r="127" spans="1:19" ht="27.95" hidden="1" customHeight="1">
      <c r="A127" s="7" t="str">
        <f t="shared" si="32"/>
        <v/>
      </c>
      <c r="B127" s="15"/>
      <c r="C127" s="16"/>
      <c r="D127" s="16"/>
      <c r="E127" s="16"/>
      <c r="F127" s="16"/>
      <c r="G127" s="16"/>
      <c r="H127" s="17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19"/>
    </row>
    <row r="128" spans="1:19" ht="27.95" hidden="1" customHeight="1">
      <c r="A128" s="7" t="str">
        <f t="shared" si="32"/>
        <v/>
      </c>
      <c r="B128" s="15"/>
      <c r="C128" s="16"/>
      <c r="D128" s="16"/>
      <c r="E128" s="16"/>
      <c r="F128" s="16"/>
      <c r="G128" s="16"/>
      <c r="H128" s="17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19"/>
    </row>
    <row r="129" spans="1:19" ht="27.95" hidden="1" customHeight="1">
      <c r="A129" s="7" t="str">
        <f t="shared" si="32"/>
        <v/>
      </c>
      <c r="B129" s="15"/>
      <c r="C129" s="16"/>
      <c r="D129" s="16"/>
      <c r="E129" s="16"/>
      <c r="F129" s="16"/>
      <c r="G129" s="16"/>
      <c r="H129" s="17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19"/>
    </row>
    <row r="130" spans="1:19" ht="27.95" hidden="1" customHeight="1">
      <c r="A130" s="7" t="str">
        <f t="shared" si="32"/>
        <v/>
      </c>
      <c r="B130" s="15"/>
      <c r="C130" s="16"/>
      <c r="D130" s="16"/>
      <c r="E130" s="16"/>
      <c r="F130" s="16"/>
      <c r="G130" s="16"/>
      <c r="H130" s="17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19"/>
    </row>
    <row r="131" spans="1:19" ht="27.95" hidden="1" customHeight="1">
      <c r="A131" s="7" t="str">
        <f t="shared" si="32"/>
        <v/>
      </c>
      <c r="B131" s="15"/>
      <c r="C131" s="16"/>
      <c r="D131" s="16"/>
      <c r="E131" s="16"/>
      <c r="F131" s="16"/>
      <c r="G131" s="16"/>
      <c r="H131" s="17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19"/>
    </row>
    <row r="132" spans="1:19" ht="27.95" hidden="1" customHeight="1">
      <c r="A132" s="7" t="str">
        <f t="shared" si="32"/>
        <v/>
      </c>
      <c r="B132" s="15"/>
      <c r="C132" s="16"/>
      <c r="D132" s="16"/>
      <c r="E132" s="16"/>
      <c r="F132" s="16"/>
      <c r="G132" s="16"/>
      <c r="H132" s="17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19"/>
    </row>
    <row r="133" spans="1:19" ht="27.95" hidden="1" customHeight="1">
      <c r="A133" s="7" t="str">
        <f t="shared" si="32"/>
        <v/>
      </c>
      <c r="B133" s="15"/>
      <c r="C133" s="16"/>
      <c r="D133" s="16"/>
      <c r="E133" s="16"/>
      <c r="F133" s="16"/>
      <c r="G133" s="16"/>
      <c r="H133" s="17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19"/>
    </row>
    <row r="134" spans="1:19" ht="27.95" hidden="1" customHeight="1">
      <c r="A134" s="7" t="str">
        <f t="shared" si="32"/>
        <v/>
      </c>
      <c r="B134" s="15"/>
      <c r="C134" s="16"/>
      <c r="D134" s="16"/>
      <c r="E134" s="16"/>
      <c r="F134" s="16"/>
      <c r="G134" s="16"/>
      <c r="H134" s="17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19"/>
    </row>
    <row r="135" spans="1:19" ht="27.95" hidden="1" customHeight="1">
      <c r="A135" s="7" t="str">
        <f t="shared" si="32"/>
        <v/>
      </c>
      <c r="B135" s="15"/>
      <c r="C135" s="16"/>
      <c r="D135" s="16"/>
      <c r="E135" s="16"/>
      <c r="F135" s="16"/>
      <c r="G135" s="16"/>
      <c r="H135" s="17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19"/>
    </row>
    <row r="136" spans="1:19" ht="27.95" hidden="1" customHeight="1">
      <c r="A136" s="7" t="str">
        <f t="shared" si="32"/>
        <v/>
      </c>
      <c r="B136" s="15"/>
      <c r="C136" s="16"/>
      <c r="D136" s="16"/>
      <c r="E136" s="16"/>
      <c r="F136" s="16"/>
      <c r="G136" s="16"/>
      <c r="H136" s="17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19"/>
    </row>
    <row r="137" spans="1:19" ht="27.95" hidden="1" customHeight="1">
      <c r="A137" s="7" t="str">
        <f t="shared" si="32"/>
        <v/>
      </c>
      <c r="B137" s="15"/>
      <c r="C137" s="16"/>
      <c r="D137" s="16"/>
      <c r="E137" s="16"/>
      <c r="F137" s="16"/>
      <c r="G137" s="16"/>
      <c r="H137" s="17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19"/>
    </row>
    <row r="138" spans="1:19" ht="27.95" hidden="1" customHeight="1">
      <c r="A138" s="7" t="str">
        <f t="shared" si="32"/>
        <v/>
      </c>
      <c r="B138" s="15"/>
      <c r="C138" s="16"/>
      <c r="D138" s="16"/>
      <c r="E138" s="16"/>
      <c r="F138" s="16"/>
      <c r="G138" s="16"/>
      <c r="H138" s="17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19"/>
    </row>
    <row r="139" spans="1:19" ht="27.95" hidden="1" customHeight="1">
      <c r="A139" s="7" t="str">
        <f t="shared" si="32"/>
        <v/>
      </c>
      <c r="B139" s="15"/>
      <c r="C139" s="16"/>
      <c r="D139" s="16"/>
      <c r="E139" s="16"/>
      <c r="F139" s="16"/>
      <c r="G139" s="16"/>
      <c r="H139" s="17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19"/>
    </row>
    <row r="140" spans="1:19" ht="27.95" hidden="1" customHeight="1">
      <c r="A140" s="7" t="str">
        <f t="shared" si="32"/>
        <v/>
      </c>
      <c r="B140" s="15"/>
      <c r="C140" s="16"/>
      <c r="D140" s="16"/>
      <c r="E140" s="16"/>
      <c r="F140" s="16"/>
      <c r="G140" s="16"/>
      <c r="H140" s="17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19"/>
    </row>
    <row r="141" spans="1:19" ht="27.95" hidden="1" customHeight="1">
      <c r="A141" s="7" t="str">
        <f t="shared" si="32"/>
        <v/>
      </c>
      <c r="B141" s="15"/>
      <c r="C141" s="16"/>
      <c r="D141" s="16"/>
      <c r="E141" s="16"/>
      <c r="F141" s="16"/>
      <c r="G141" s="16"/>
      <c r="H141" s="17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19"/>
    </row>
    <row r="142" spans="1:19" ht="27.95" hidden="1" customHeight="1">
      <c r="A142" s="7" t="str">
        <f t="shared" si="32"/>
        <v/>
      </c>
      <c r="B142" s="15"/>
      <c r="C142" s="16"/>
      <c r="D142" s="16"/>
      <c r="E142" s="16"/>
      <c r="F142" s="16"/>
      <c r="G142" s="16"/>
      <c r="H142" s="17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19"/>
    </row>
    <row r="143" spans="1:19" ht="27.95" hidden="1" customHeight="1">
      <c r="A143" s="7" t="str">
        <f t="shared" si="32"/>
        <v/>
      </c>
      <c r="B143" s="15"/>
      <c r="C143" s="16"/>
      <c r="D143" s="16"/>
      <c r="E143" s="16"/>
      <c r="F143" s="16"/>
      <c r="G143" s="16"/>
      <c r="H143" s="17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19"/>
    </row>
    <row r="144" spans="1:19" ht="27.95" hidden="1" customHeight="1">
      <c r="A144" s="7" t="str">
        <f t="shared" si="32"/>
        <v/>
      </c>
      <c r="B144" s="15"/>
      <c r="C144" s="16"/>
      <c r="D144" s="16"/>
      <c r="E144" s="16"/>
      <c r="F144" s="16"/>
      <c r="G144" s="16"/>
      <c r="H144" s="17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19"/>
    </row>
    <row r="145" spans="1:19" ht="27.95" hidden="1" customHeight="1">
      <c r="A145" s="7" t="str">
        <f t="shared" si="32"/>
        <v/>
      </c>
      <c r="B145" s="15"/>
      <c r="C145" s="16"/>
      <c r="D145" s="16"/>
      <c r="E145" s="16"/>
      <c r="F145" s="16"/>
      <c r="G145" s="16"/>
      <c r="H145" s="17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19"/>
    </row>
    <row r="146" spans="1:19" ht="27.95" hidden="1" customHeight="1">
      <c r="A146" s="7" t="str">
        <f t="shared" si="32"/>
        <v/>
      </c>
      <c r="B146" s="15"/>
      <c r="C146" s="16"/>
      <c r="D146" s="16"/>
      <c r="E146" s="16"/>
      <c r="F146" s="16"/>
      <c r="G146" s="16"/>
      <c r="H146" s="17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19"/>
    </row>
    <row r="147" spans="1:19" ht="27.95" hidden="1" customHeight="1">
      <c r="A147" s="7" t="str">
        <f t="shared" si="32"/>
        <v/>
      </c>
      <c r="B147" s="15"/>
      <c r="C147" s="16"/>
      <c r="D147" s="16"/>
      <c r="E147" s="16"/>
      <c r="F147" s="16"/>
      <c r="G147" s="16"/>
      <c r="H147" s="17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19"/>
    </row>
    <row r="148" spans="1:19" ht="27.95" hidden="1" customHeight="1">
      <c r="A148" s="7" t="str">
        <f t="shared" si="32"/>
        <v/>
      </c>
      <c r="B148" s="15"/>
      <c r="C148" s="16"/>
      <c r="D148" s="16"/>
      <c r="E148" s="16"/>
      <c r="F148" s="16"/>
      <c r="G148" s="16"/>
      <c r="H148" s="17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19"/>
    </row>
    <row r="149" spans="1:19" ht="27.95" hidden="1" customHeight="1">
      <c r="A149" s="7" t="str">
        <f t="shared" si="32"/>
        <v/>
      </c>
      <c r="B149" s="15"/>
      <c r="C149" s="16"/>
      <c r="D149" s="16"/>
      <c r="E149" s="16"/>
      <c r="F149" s="16"/>
      <c r="G149" s="16"/>
      <c r="H149" s="17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19"/>
    </row>
    <row r="150" spans="1:19" ht="27.95" hidden="1" customHeight="1">
      <c r="A150" s="7" t="str">
        <f t="shared" si="32"/>
        <v/>
      </c>
      <c r="B150" s="15"/>
      <c r="C150" s="16"/>
      <c r="D150" s="16"/>
      <c r="E150" s="16"/>
      <c r="F150" s="16"/>
      <c r="G150" s="16"/>
      <c r="H150" s="17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19"/>
    </row>
    <row r="151" spans="1:19" ht="27.95" hidden="1" customHeight="1">
      <c r="A151" s="7" t="str">
        <f t="shared" si="32"/>
        <v/>
      </c>
      <c r="B151" s="15"/>
      <c r="C151" s="16"/>
      <c r="D151" s="16"/>
      <c r="E151" s="16"/>
      <c r="F151" s="16"/>
      <c r="G151" s="16"/>
      <c r="H151" s="17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19"/>
    </row>
    <row r="152" spans="1:19" ht="27.95" hidden="1" customHeight="1">
      <c r="A152" s="7" t="str">
        <f t="shared" si="32"/>
        <v/>
      </c>
      <c r="B152" s="15"/>
      <c r="C152" s="16"/>
      <c r="D152" s="16"/>
      <c r="E152" s="16"/>
      <c r="F152" s="16"/>
      <c r="G152" s="16"/>
      <c r="H152" s="17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19"/>
    </row>
    <row r="153" spans="1:19" ht="27.95" hidden="1" customHeight="1">
      <c r="A153" s="7" t="str">
        <f t="shared" ref="A153:A216" si="33">IF(B153="","","PRINT")</f>
        <v/>
      </c>
      <c r="B153" s="15"/>
      <c r="C153" s="16"/>
      <c r="D153" s="16"/>
      <c r="E153" s="16"/>
      <c r="F153" s="16"/>
      <c r="G153" s="16"/>
      <c r="H153" s="17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19"/>
    </row>
    <row r="154" spans="1:19" ht="27.95" hidden="1" customHeight="1">
      <c r="A154" s="7" t="str">
        <f t="shared" si="33"/>
        <v/>
      </c>
      <c r="B154" s="15"/>
      <c r="C154" s="16"/>
      <c r="D154" s="16"/>
      <c r="E154" s="16"/>
      <c r="F154" s="16"/>
      <c r="G154" s="16"/>
      <c r="H154" s="17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19"/>
    </row>
    <row r="155" spans="1:19" ht="27.95" hidden="1" customHeight="1">
      <c r="A155" s="7" t="str">
        <f t="shared" si="33"/>
        <v/>
      </c>
      <c r="B155" s="15"/>
      <c r="C155" s="16"/>
      <c r="D155" s="16"/>
      <c r="E155" s="16"/>
      <c r="F155" s="16"/>
      <c r="G155" s="16"/>
      <c r="H155" s="17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19"/>
    </row>
    <row r="156" spans="1:19" ht="27.95" hidden="1" customHeight="1">
      <c r="A156" s="7" t="str">
        <f t="shared" si="33"/>
        <v/>
      </c>
      <c r="B156" s="15"/>
      <c r="C156" s="16"/>
      <c r="D156" s="16"/>
      <c r="E156" s="16"/>
      <c r="F156" s="16"/>
      <c r="G156" s="16"/>
      <c r="H156" s="17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19"/>
    </row>
    <row r="157" spans="1:19" ht="27.95" hidden="1" customHeight="1">
      <c r="A157" s="7" t="str">
        <f t="shared" si="33"/>
        <v/>
      </c>
      <c r="B157" s="15"/>
      <c r="C157" s="16"/>
      <c r="D157" s="16"/>
      <c r="E157" s="16"/>
      <c r="F157" s="16"/>
      <c r="G157" s="16"/>
      <c r="H157" s="17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19"/>
    </row>
    <row r="158" spans="1:19" ht="27.95" hidden="1" customHeight="1">
      <c r="A158" s="7" t="str">
        <f t="shared" si="33"/>
        <v/>
      </c>
      <c r="B158" s="15"/>
      <c r="C158" s="16"/>
      <c r="D158" s="16"/>
      <c r="E158" s="16"/>
      <c r="F158" s="16"/>
      <c r="G158" s="16"/>
      <c r="H158" s="17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19"/>
    </row>
    <row r="159" spans="1:19" ht="27.95" hidden="1" customHeight="1">
      <c r="A159" s="7" t="str">
        <f t="shared" si="33"/>
        <v/>
      </c>
      <c r="B159" s="15"/>
      <c r="C159" s="16"/>
      <c r="D159" s="16"/>
      <c r="E159" s="16"/>
      <c r="F159" s="16"/>
      <c r="G159" s="16"/>
      <c r="H159" s="17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19"/>
    </row>
    <row r="160" spans="1:19" ht="27.95" hidden="1" customHeight="1">
      <c r="A160" s="7" t="str">
        <f t="shared" si="33"/>
        <v/>
      </c>
      <c r="B160" s="15"/>
      <c r="C160" s="16"/>
      <c r="D160" s="16"/>
      <c r="E160" s="16"/>
      <c r="F160" s="16"/>
      <c r="G160" s="16"/>
      <c r="H160" s="17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19"/>
    </row>
    <row r="161" spans="1:19" ht="27.95" hidden="1" customHeight="1">
      <c r="A161" s="7" t="str">
        <f t="shared" si="33"/>
        <v/>
      </c>
      <c r="B161" s="15"/>
      <c r="C161" s="16"/>
      <c r="D161" s="16"/>
      <c r="E161" s="16"/>
      <c r="F161" s="16"/>
      <c r="G161" s="16"/>
      <c r="H161" s="17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19"/>
    </row>
    <row r="162" spans="1:19" ht="27.95" hidden="1" customHeight="1">
      <c r="A162" s="7" t="str">
        <f t="shared" si="33"/>
        <v/>
      </c>
      <c r="B162" s="15"/>
      <c r="C162" s="16"/>
      <c r="D162" s="16"/>
      <c r="E162" s="16"/>
      <c r="F162" s="16"/>
      <c r="G162" s="16"/>
      <c r="H162" s="17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19"/>
    </row>
    <row r="163" spans="1:19" ht="27.95" hidden="1" customHeight="1">
      <c r="A163" s="7" t="str">
        <f t="shared" si="33"/>
        <v/>
      </c>
      <c r="B163" s="15"/>
      <c r="C163" s="16"/>
      <c r="D163" s="16"/>
      <c r="E163" s="16"/>
      <c r="F163" s="16"/>
      <c r="G163" s="16"/>
      <c r="H163" s="17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19"/>
    </row>
    <row r="164" spans="1:19" ht="27.95" hidden="1" customHeight="1">
      <c r="A164" s="7" t="str">
        <f t="shared" si="33"/>
        <v/>
      </c>
      <c r="B164" s="15"/>
      <c r="C164" s="16"/>
      <c r="D164" s="16"/>
      <c r="E164" s="16"/>
      <c r="F164" s="16"/>
      <c r="G164" s="16"/>
      <c r="H164" s="17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19"/>
    </row>
    <row r="165" spans="1:19" ht="27.95" hidden="1" customHeight="1">
      <c r="A165" s="7" t="str">
        <f t="shared" si="33"/>
        <v/>
      </c>
      <c r="B165" s="15"/>
      <c r="C165" s="16"/>
      <c r="D165" s="16"/>
      <c r="E165" s="16"/>
      <c r="F165" s="16"/>
      <c r="G165" s="16"/>
      <c r="H165" s="17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19"/>
    </row>
    <row r="166" spans="1:19" ht="27.95" hidden="1" customHeight="1">
      <c r="A166" s="7" t="str">
        <f t="shared" si="33"/>
        <v/>
      </c>
      <c r="B166" s="15"/>
      <c r="C166" s="16"/>
      <c r="D166" s="16"/>
      <c r="E166" s="16"/>
      <c r="F166" s="16"/>
      <c r="G166" s="16"/>
      <c r="H166" s="17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19"/>
    </row>
    <row r="167" spans="1:19" ht="27.95" hidden="1" customHeight="1">
      <c r="A167" s="7" t="str">
        <f t="shared" si="33"/>
        <v/>
      </c>
      <c r="B167" s="15"/>
      <c r="C167" s="16"/>
      <c r="D167" s="16"/>
      <c r="E167" s="16"/>
      <c r="F167" s="16"/>
      <c r="G167" s="16"/>
      <c r="H167" s="17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19"/>
    </row>
    <row r="168" spans="1:19" ht="27.95" hidden="1" customHeight="1">
      <c r="A168" s="7" t="str">
        <f t="shared" si="33"/>
        <v/>
      </c>
      <c r="B168" s="15"/>
      <c r="C168" s="16"/>
      <c r="D168" s="16"/>
      <c r="E168" s="16"/>
      <c r="F168" s="16"/>
      <c r="G168" s="16"/>
      <c r="H168" s="17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19"/>
    </row>
    <row r="169" spans="1:19" ht="27.95" hidden="1" customHeight="1">
      <c r="A169" s="7" t="str">
        <f t="shared" si="33"/>
        <v/>
      </c>
      <c r="B169" s="15"/>
      <c r="C169" s="16"/>
      <c r="D169" s="16"/>
      <c r="E169" s="16"/>
      <c r="F169" s="16"/>
      <c r="G169" s="16"/>
      <c r="H169" s="17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19"/>
    </row>
    <row r="170" spans="1:19" ht="27.95" hidden="1" customHeight="1">
      <c r="A170" s="7" t="str">
        <f t="shared" si="33"/>
        <v/>
      </c>
      <c r="B170" s="15"/>
      <c r="C170" s="16"/>
      <c r="D170" s="16"/>
      <c r="E170" s="16"/>
      <c r="F170" s="16"/>
      <c r="G170" s="16"/>
      <c r="H170" s="17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19"/>
    </row>
    <row r="171" spans="1:19" ht="27.95" hidden="1" customHeight="1">
      <c r="A171" s="7" t="str">
        <f t="shared" si="33"/>
        <v/>
      </c>
      <c r="B171" s="15"/>
      <c r="C171" s="16"/>
      <c r="D171" s="16"/>
      <c r="E171" s="16"/>
      <c r="F171" s="16"/>
      <c r="G171" s="16"/>
      <c r="H171" s="17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19"/>
    </row>
    <row r="172" spans="1:19" ht="27.95" hidden="1" customHeight="1">
      <c r="A172" s="7" t="str">
        <f t="shared" si="33"/>
        <v/>
      </c>
      <c r="B172" s="15"/>
      <c r="C172" s="16"/>
      <c r="D172" s="16"/>
      <c r="E172" s="16"/>
      <c r="F172" s="16"/>
      <c r="G172" s="16"/>
      <c r="H172" s="17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19"/>
    </row>
    <row r="173" spans="1:19" ht="27.95" hidden="1" customHeight="1">
      <c r="A173" s="7" t="str">
        <f t="shared" si="33"/>
        <v/>
      </c>
      <c r="B173" s="15"/>
      <c r="C173" s="16"/>
      <c r="D173" s="16"/>
      <c r="E173" s="16"/>
      <c r="F173" s="16"/>
      <c r="G173" s="16"/>
      <c r="H173" s="17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19"/>
    </row>
    <row r="174" spans="1:19" ht="27.95" hidden="1" customHeight="1">
      <c r="A174" s="7" t="str">
        <f t="shared" si="33"/>
        <v/>
      </c>
      <c r="B174" s="15"/>
      <c r="C174" s="16"/>
      <c r="D174" s="16"/>
      <c r="E174" s="16"/>
      <c r="F174" s="16"/>
      <c r="G174" s="16"/>
      <c r="H174" s="17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19"/>
    </row>
    <row r="175" spans="1:19" ht="27.95" hidden="1" customHeight="1">
      <c r="A175" s="7" t="str">
        <f t="shared" si="33"/>
        <v/>
      </c>
      <c r="B175" s="15"/>
      <c r="C175" s="16"/>
      <c r="D175" s="16"/>
      <c r="E175" s="16"/>
      <c r="F175" s="16"/>
      <c r="G175" s="16"/>
      <c r="H175" s="17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19"/>
    </row>
    <row r="176" spans="1:19" ht="27.95" hidden="1" customHeight="1">
      <c r="A176" s="7" t="str">
        <f t="shared" si="33"/>
        <v/>
      </c>
      <c r="B176" s="15"/>
      <c r="C176" s="16"/>
      <c r="D176" s="16"/>
      <c r="E176" s="16"/>
      <c r="F176" s="16"/>
      <c r="G176" s="16"/>
      <c r="H176" s="17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19"/>
    </row>
    <row r="177" spans="1:19" ht="27.95" hidden="1" customHeight="1">
      <c r="A177" s="7" t="str">
        <f t="shared" si="33"/>
        <v/>
      </c>
      <c r="B177" s="15"/>
      <c r="C177" s="16"/>
      <c r="D177" s="16"/>
      <c r="E177" s="16"/>
      <c r="F177" s="16"/>
      <c r="G177" s="16"/>
      <c r="H177" s="17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19"/>
    </row>
    <row r="178" spans="1:19" ht="27.95" hidden="1" customHeight="1">
      <c r="A178" s="7" t="str">
        <f t="shared" si="33"/>
        <v/>
      </c>
      <c r="B178" s="15"/>
      <c r="C178" s="16"/>
      <c r="D178" s="16"/>
      <c r="E178" s="16"/>
      <c r="F178" s="16"/>
      <c r="G178" s="16"/>
      <c r="H178" s="17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19"/>
    </row>
    <row r="179" spans="1:19" ht="27.95" hidden="1" customHeight="1">
      <c r="A179" s="7" t="str">
        <f t="shared" si="33"/>
        <v/>
      </c>
      <c r="B179" s="15"/>
      <c r="C179" s="16"/>
      <c r="D179" s="16"/>
      <c r="E179" s="16"/>
      <c r="F179" s="16"/>
      <c r="G179" s="16"/>
      <c r="H179" s="17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19"/>
    </row>
    <row r="180" spans="1:19" ht="27.95" hidden="1" customHeight="1">
      <c r="A180" s="7" t="str">
        <f t="shared" si="33"/>
        <v/>
      </c>
      <c r="B180" s="15"/>
      <c r="C180" s="16"/>
      <c r="D180" s="16"/>
      <c r="E180" s="16"/>
      <c r="F180" s="16"/>
      <c r="G180" s="16"/>
      <c r="H180" s="17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19"/>
    </row>
    <row r="181" spans="1:19" ht="27.95" hidden="1" customHeight="1">
      <c r="A181" s="7" t="str">
        <f t="shared" si="33"/>
        <v/>
      </c>
      <c r="B181" s="15"/>
      <c r="C181" s="16"/>
      <c r="D181" s="16"/>
      <c r="E181" s="16"/>
      <c r="F181" s="16"/>
      <c r="G181" s="16"/>
      <c r="H181" s="17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19"/>
    </row>
    <row r="182" spans="1:19" ht="27.95" hidden="1" customHeight="1">
      <c r="A182" s="7" t="str">
        <f t="shared" si="33"/>
        <v/>
      </c>
      <c r="B182" s="15"/>
      <c r="C182" s="16"/>
      <c r="D182" s="16"/>
      <c r="E182" s="16"/>
      <c r="F182" s="16"/>
      <c r="G182" s="16"/>
      <c r="H182" s="17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19"/>
    </row>
    <row r="183" spans="1:19" ht="27.95" hidden="1" customHeight="1">
      <c r="A183" s="7" t="str">
        <f t="shared" si="33"/>
        <v/>
      </c>
      <c r="B183" s="15"/>
      <c r="C183" s="16"/>
      <c r="D183" s="16"/>
      <c r="E183" s="16"/>
      <c r="F183" s="16"/>
      <c r="G183" s="16"/>
      <c r="H183" s="17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19"/>
    </row>
    <row r="184" spans="1:19" ht="27.95" hidden="1" customHeight="1">
      <c r="A184" s="7" t="str">
        <f t="shared" si="33"/>
        <v/>
      </c>
      <c r="B184" s="15"/>
      <c r="C184" s="16"/>
      <c r="D184" s="16"/>
      <c r="E184" s="16"/>
      <c r="F184" s="16"/>
      <c r="G184" s="16"/>
      <c r="H184" s="17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19"/>
    </row>
    <row r="185" spans="1:19" ht="27.95" hidden="1" customHeight="1">
      <c r="A185" s="7" t="str">
        <f t="shared" si="33"/>
        <v/>
      </c>
      <c r="B185" s="15"/>
      <c r="C185" s="16"/>
      <c r="D185" s="16"/>
      <c r="E185" s="16"/>
      <c r="F185" s="16"/>
      <c r="G185" s="16"/>
      <c r="H185" s="17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19"/>
    </row>
    <row r="186" spans="1:19" ht="27.95" hidden="1" customHeight="1">
      <c r="A186" s="7" t="str">
        <f t="shared" si="33"/>
        <v/>
      </c>
      <c r="B186" s="15"/>
      <c r="C186" s="16"/>
      <c r="D186" s="16"/>
      <c r="E186" s="16"/>
      <c r="F186" s="16"/>
      <c r="G186" s="16"/>
      <c r="H186" s="17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19"/>
    </row>
    <row r="187" spans="1:19" ht="27.95" hidden="1" customHeight="1">
      <c r="A187" s="7" t="str">
        <f t="shared" si="33"/>
        <v/>
      </c>
      <c r="B187" s="15"/>
      <c r="C187" s="16"/>
      <c r="D187" s="16"/>
      <c r="E187" s="16"/>
      <c r="F187" s="16"/>
      <c r="G187" s="16"/>
      <c r="H187" s="17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19"/>
    </row>
    <row r="188" spans="1:19" ht="27.95" hidden="1" customHeight="1">
      <c r="A188" s="7" t="str">
        <f t="shared" si="33"/>
        <v/>
      </c>
      <c r="B188" s="15"/>
      <c r="C188" s="16"/>
      <c r="D188" s="16"/>
      <c r="E188" s="16"/>
      <c r="F188" s="16"/>
      <c r="G188" s="16"/>
      <c r="H188" s="17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19"/>
    </row>
    <row r="189" spans="1:19" ht="27.95" hidden="1" customHeight="1">
      <c r="A189" s="7" t="str">
        <f t="shared" si="33"/>
        <v/>
      </c>
      <c r="B189" s="15"/>
      <c r="C189" s="16"/>
      <c r="D189" s="16"/>
      <c r="E189" s="16"/>
      <c r="F189" s="16"/>
      <c r="G189" s="16"/>
      <c r="H189" s="17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19"/>
    </row>
    <row r="190" spans="1:19" ht="27.95" hidden="1" customHeight="1">
      <c r="A190" s="7" t="str">
        <f t="shared" si="33"/>
        <v/>
      </c>
      <c r="B190" s="15"/>
      <c r="C190" s="16"/>
      <c r="D190" s="16"/>
      <c r="E190" s="16"/>
      <c r="F190" s="16"/>
      <c r="G190" s="16"/>
      <c r="H190" s="17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19"/>
    </row>
    <row r="191" spans="1:19" ht="27.95" hidden="1" customHeight="1">
      <c r="A191" s="7" t="str">
        <f t="shared" si="33"/>
        <v/>
      </c>
      <c r="B191" s="15"/>
      <c r="C191" s="16"/>
      <c r="D191" s="16"/>
      <c r="E191" s="16"/>
      <c r="F191" s="16"/>
      <c r="G191" s="16"/>
      <c r="H191" s="17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19"/>
    </row>
    <row r="192" spans="1:19" ht="27.95" hidden="1" customHeight="1">
      <c r="A192" s="7" t="str">
        <f t="shared" si="33"/>
        <v/>
      </c>
      <c r="B192" s="15"/>
      <c r="C192" s="16"/>
      <c r="D192" s="16"/>
      <c r="E192" s="16"/>
      <c r="F192" s="16"/>
      <c r="G192" s="16"/>
      <c r="H192" s="17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19"/>
    </row>
    <row r="193" spans="1:19" ht="27.95" hidden="1" customHeight="1">
      <c r="A193" s="7" t="str">
        <f t="shared" si="33"/>
        <v/>
      </c>
      <c r="B193" s="15"/>
      <c r="C193" s="16"/>
      <c r="D193" s="16"/>
      <c r="E193" s="16"/>
      <c r="F193" s="16"/>
      <c r="G193" s="16"/>
      <c r="H193" s="17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19"/>
    </row>
    <row r="194" spans="1:19" ht="27.95" hidden="1" customHeight="1">
      <c r="A194" s="7" t="str">
        <f t="shared" si="33"/>
        <v/>
      </c>
      <c r="B194" s="15"/>
      <c r="C194" s="16"/>
      <c r="D194" s="16"/>
      <c r="E194" s="16"/>
      <c r="F194" s="16"/>
      <c r="G194" s="16"/>
      <c r="H194" s="17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19"/>
    </row>
    <row r="195" spans="1:19" ht="27.95" hidden="1" customHeight="1">
      <c r="A195" s="7" t="str">
        <f t="shared" si="33"/>
        <v/>
      </c>
      <c r="B195" s="15"/>
      <c r="C195" s="16"/>
      <c r="D195" s="16"/>
      <c r="E195" s="16"/>
      <c r="F195" s="16"/>
      <c r="G195" s="16"/>
      <c r="H195" s="17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19"/>
    </row>
    <row r="196" spans="1:19" ht="27.95" hidden="1" customHeight="1">
      <c r="A196" s="7" t="str">
        <f t="shared" si="33"/>
        <v/>
      </c>
      <c r="B196" s="15"/>
      <c r="C196" s="16"/>
      <c r="D196" s="16"/>
      <c r="E196" s="16"/>
      <c r="F196" s="16"/>
      <c r="G196" s="16"/>
      <c r="H196" s="17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19"/>
    </row>
    <row r="197" spans="1:19" ht="27.95" hidden="1" customHeight="1">
      <c r="A197" s="7" t="str">
        <f t="shared" si="33"/>
        <v/>
      </c>
      <c r="B197" s="15"/>
      <c r="C197" s="16"/>
      <c r="D197" s="16"/>
      <c r="E197" s="16"/>
      <c r="F197" s="16"/>
      <c r="G197" s="16"/>
      <c r="H197" s="17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19"/>
    </row>
    <row r="198" spans="1:19" ht="27.95" hidden="1" customHeight="1">
      <c r="A198" s="7" t="str">
        <f t="shared" si="33"/>
        <v/>
      </c>
      <c r="B198" s="15"/>
      <c r="C198" s="16"/>
      <c r="D198" s="16"/>
      <c r="E198" s="16"/>
      <c r="F198" s="16"/>
      <c r="G198" s="16"/>
      <c r="H198" s="17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19"/>
    </row>
    <row r="199" spans="1:19" ht="27.95" hidden="1" customHeight="1">
      <c r="A199" s="7" t="str">
        <f t="shared" si="33"/>
        <v/>
      </c>
      <c r="B199" s="15"/>
      <c r="C199" s="16"/>
      <c r="D199" s="16"/>
      <c r="E199" s="16"/>
      <c r="F199" s="16"/>
      <c r="G199" s="16"/>
      <c r="H199" s="17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19"/>
    </row>
    <row r="200" spans="1:19" ht="27.95" hidden="1" customHeight="1">
      <c r="A200" s="7" t="str">
        <f t="shared" si="33"/>
        <v/>
      </c>
      <c r="B200" s="15"/>
      <c r="C200" s="16"/>
      <c r="D200" s="16"/>
      <c r="E200" s="16"/>
      <c r="F200" s="16"/>
      <c r="G200" s="16"/>
      <c r="H200" s="17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19"/>
    </row>
    <row r="201" spans="1:19" ht="27.95" hidden="1" customHeight="1">
      <c r="A201" s="7" t="str">
        <f t="shared" si="33"/>
        <v/>
      </c>
      <c r="B201" s="15"/>
      <c r="C201" s="16"/>
      <c r="D201" s="16"/>
      <c r="E201" s="16"/>
      <c r="F201" s="16"/>
      <c r="G201" s="16"/>
      <c r="H201" s="17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19"/>
    </row>
    <row r="202" spans="1:19" ht="27.95" hidden="1" customHeight="1">
      <c r="A202" s="7" t="str">
        <f t="shared" si="33"/>
        <v/>
      </c>
      <c r="B202" s="15"/>
      <c r="C202" s="16"/>
      <c r="D202" s="16"/>
      <c r="E202" s="16"/>
      <c r="F202" s="16"/>
      <c r="G202" s="16"/>
      <c r="H202" s="17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19"/>
    </row>
    <row r="203" spans="1:19" ht="27.95" hidden="1" customHeight="1">
      <c r="A203" s="7" t="str">
        <f t="shared" si="33"/>
        <v/>
      </c>
      <c r="B203" s="15"/>
      <c r="C203" s="16"/>
      <c r="D203" s="16"/>
      <c r="E203" s="16"/>
      <c r="F203" s="16"/>
      <c r="G203" s="16"/>
      <c r="H203" s="17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19"/>
    </row>
    <row r="204" spans="1:19" ht="27.95" hidden="1" customHeight="1">
      <c r="A204" s="7" t="str">
        <f t="shared" si="33"/>
        <v/>
      </c>
      <c r="B204" s="15"/>
      <c r="C204" s="16"/>
      <c r="D204" s="16"/>
      <c r="E204" s="16"/>
      <c r="F204" s="16"/>
      <c r="G204" s="16"/>
      <c r="H204" s="17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19"/>
    </row>
    <row r="205" spans="1:19" ht="27.95" hidden="1" customHeight="1">
      <c r="A205" s="7" t="str">
        <f t="shared" si="33"/>
        <v/>
      </c>
      <c r="B205" s="15"/>
      <c r="C205" s="16"/>
      <c r="D205" s="16"/>
      <c r="E205" s="16"/>
      <c r="F205" s="16"/>
      <c r="G205" s="16"/>
      <c r="H205" s="17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19"/>
    </row>
    <row r="206" spans="1:19" ht="27.95" hidden="1" customHeight="1">
      <c r="A206" s="7" t="str">
        <f t="shared" si="33"/>
        <v/>
      </c>
      <c r="B206" s="15"/>
      <c r="C206" s="16"/>
      <c r="D206" s="16"/>
      <c r="E206" s="16"/>
      <c r="F206" s="16"/>
      <c r="G206" s="16"/>
      <c r="H206" s="17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19"/>
    </row>
    <row r="207" spans="1:19" ht="27.95" hidden="1" customHeight="1">
      <c r="A207" s="7" t="str">
        <f t="shared" si="33"/>
        <v/>
      </c>
      <c r="B207" s="15"/>
      <c r="C207" s="16"/>
      <c r="D207" s="16"/>
      <c r="E207" s="16"/>
      <c r="F207" s="16"/>
      <c r="G207" s="16"/>
      <c r="H207" s="17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19"/>
    </row>
    <row r="208" spans="1:19" ht="27.95" hidden="1" customHeight="1">
      <c r="A208" s="7" t="str">
        <f t="shared" si="33"/>
        <v/>
      </c>
      <c r="B208" s="15"/>
      <c r="C208" s="16"/>
      <c r="D208" s="16"/>
      <c r="E208" s="16"/>
      <c r="F208" s="16"/>
      <c r="G208" s="16"/>
      <c r="H208" s="17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19"/>
    </row>
    <row r="209" spans="1:19" ht="27.95" hidden="1" customHeight="1">
      <c r="A209" s="7" t="str">
        <f t="shared" si="33"/>
        <v/>
      </c>
      <c r="B209" s="15"/>
      <c r="C209" s="16"/>
      <c r="D209" s="16"/>
      <c r="E209" s="16"/>
      <c r="F209" s="16"/>
      <c r="G209" s="16"/>
      <c r="H209" s="17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19"/>
    </row>
    <row r="210" spans="1:19" ht="27.95" hidden="1" customHeight="1">
      <c r="A210" s="7" t="str">
        <f t="shared" si="33"/>
        <v/>
      </c>
      <c r="B210" s="15"/>
      <c r="C210" s="16"/>
      <c r="D210" s="16"/>
      <c r="E210" s="16"/>
      <c r="F210" s="16"/>
      <c r="G210" s="16"/>
      <c r="H210" s="17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19"/>
    </row>
    <row r="211" spans="1:19" ht="27.95" hidden="1" customHeight="1">
      <c r="A211" s="7" t="str">
        <f t="shared" si="33"/>
        <v/>
      </c>
      <c r="B211" s="15"/>
      <c r="C211" s="16"/>
      <c r="D211" s="16"/>
      <c r="E211" s="16"/>
      <c r="F211" s="16"/>
      <c r="G211" s="16"/>
      <c r="H211" s="17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19"/>
    </row>
    <row r="212" spans="1:19" ht="27.95" hidden="1" customHeight="1">
      <c r="A212" s="7" t="str">
        <f t="shared" si="33"/>
        <v/>
      </c>
      <c r="B212" s="15"/>
      <c r="C212" s="16"/>
      <c r="D212" s="16"/>
      <c r="E212" s="16"/>
      <c r="F212" s="16"/>
      <c r="G212" s="16"/>
      <c r="H212" s="17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19"/>
    </row>
    <row r="213" spans="1:19" ht="27.95" hidden="1" customHeight="1">
      <c r="A213" s="7" t="str">
        <f t="shared" si="33"/>
        <v/>
      </c>
      <c r="B213" s="15"/>
      <c r="C213" s="16"/>
      <c r="D213" s="16"/>
      <c r="E213" s="16"/>
      <c r="F213" s="16"/>
      <c r="G213" s="16"/>
      <c r="H213" s="17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19"/>
    </row>
    <row r="214" spans="1:19" ht="27.95" hidden="1" customHeight="1">
      <c r="A214" s="7" t="str">
        <f t="shared" si="33"/>
        <v/>
      </c>
      <c r="B214" s="15"/>
      <c r="C214" s="16"/>
      <c r="D214" s="16"/>
      <c r="E214" s="16"/>
      <c r="F214" s="16"/>
      <c r="G214" s="16"/>
      <c r="H214" s="17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19"/>
    </row>
    <row r="215" spans="1:19" ht="27.95" hidden="1" customHeight="1">
      <c r="A215" s="7" t="str">
        <f t="shared" si="33"/>
        <v/>
      </c>
      <c r="B215" s="15"/>
      <c r="C215" s="16"/>
      <c r="D215" s="16"/>
      <c r="E215" s="16"/>
      <c r="F215" s="16"/>
      <c r="G215" s="16"/>
      <c r="H215" s="17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19"/>
    </row>
    <row r="216" spans="1:19" ht="27.95" hidden="1" customHeight="1">
      <c r="A216" s="7" t="str">
        <f t="shared" si="33"/>
        <v/>
      </c>
      <c r="B216" s="15"/>
      <c r="C216" s="16"/>
      <c r="D216" s="16"/>
      <c r="E216" s="16"/>
      <c r="F216" s="16"/>
      <c r="G216" s="16"/>
      <c r="H216" s="17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19"/>
    </row>
    <row r="217" spans="1:19" ht="27.95" hidden="1" customHeight="1">
      <c r="A217" s="7" t="str">
        <f t="shared" ref="A217:A280" si="34">IF(B217="","","PRINT")</f>
        <v/>
      </c>
      <c r="B217" s="15"/>
      <c r="C217" s="16"/>
      <c r="D217" s="16"/>
      <c r="E217" s="16"/>
      <c r="F217" s="16"/>
      <c r="G217" s="16"/>
      <c r="H217" s="17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19"/>
    </row>
    <row r="218" spans="1:19" ht="27.95" hidden="1" customHeight="1">
      <c r="A218" s="7" t="str">
        <f t="shared" si="34"/>
        <v/>
      </c>
      <c r="B218" s="15"/>
      <c r="C218" s="16"/>
      <c r="D218" s="16"/>
      <c r="E218" s="16"/>
      <c r="F218" s="16"/>
      <c r="G218" s="16"/>
      <c r="H218" s="17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19"/>
    </row>
    <row r="219" spans="1:19" ht="27.95" hidden="1" customHeight="1">
      <c r="A219" s="7" t="str">
        <f t="shared" si="34"/>
        <v/>
      </c>
      <c r="B219" s="15"/>
      <c r="C219" s="16"/>
      <c r="D219" s="16"/>
      <c r="E219" s="16"/>
      <c r="F219" s="16"/>
      <c r="G219" s="16"/>
      <c r="H219" s="17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19"/>
    </row>
    <row r="220" spans="1:19" ht="27.95" hidden="1" customHeight="1">
      <c r="A220" s="7" t="str">
        <f t="shared" si="34"/>
        <v/>
      </c>
      <c r="B220" s="15"/>
      <c r="C220" s="16"/>
      <c r="D220" s="16"/>
      <c r="E220" s="16"/>
      <c r="F220" s="16"/>
      <c r="G220" s="16"/>
      <c r="H220" s="17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19"/>
    </row>
    <row r="221" spans="1:19" ht="27.95" hidden="1" customHeight="1">
      <c r="A221" s="7" t="str">
        <f t="shared" si="34"/>
        <v/>
      </c>
      <c r="B221" s="15"/>
      <c r="C221" s="16"/>
      <c r="D221" s="16"/>
      <c r="E221" s="16"/>
      <c r="F221" s="16"/>
      <c r="G221" s="16"/>
      <c r="H221" s="17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19"/>
    </row>
    <row r="222" spans="1:19" ht="27.95" hidden="1" customHeight="1">
      <c r="A222" s="7" t="str">
        <f t="shared" si="34"/>
        <v/>
      </c>
      <c r="B222" s="15"/>
      <c r="C222" s="16"/>
      <c r="D222" s="16"/>
      <c r="E222" s="16"/>
      <c r="F222" s="16"/>
      <c r="G222" s="16"/>
      <c r="H222" s="17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19"/>
    </row>
    <row r="223" spans="1:19" ht="27.95" hidden="1" customHeight="1">
      <c r="A223" s="7" t="str">
        <f t="shared" si="34"/>
        <v/>
      </c>
      <c r="B223" s="15"/>
      <c r="C223" s="16"/>
      <c r="D223" s="16"/>
      <c r="E223" s="16"/>
      <c r="F223" s="16"/>
      <c r="G223" s="16"/>
      <c r="H223" s="17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19"/>
    </row>
    <row r="224" spans="1:19" ht="27.95" hidden="1" customHeight="1">
      <c r="A224" s="7" t="str">
        <f t="shared" si="34"/>
        <v/>
      </c>
      <c r="B224" s="15"/>
      <c r="C224" s="16"/>
      <c r="D224" s="16"/>
      <c r="E224" s="16"/>
      <c r="F224" s="16"/>
      <c r="G224" s="16"/>
      <c r="H224" s="17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19"/>
    </row>
    <row r="225" spans="1:19" ht="27.95" hidden="1" customHeight="1">
      <c r="A225" s="7" t="str">
        <f t="shared" si="34"/>
        <v/>
      </c>
      <c r="B225" s="15"/>
      <c r="C225" s="16"/>
      <c r="D225" s="16"/>
      <c r="E225" s="16"/>
      <c r="F225" s="16"/>
      <c r="G225" s="16"/>
      <c r="H225" s="17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19"/>
    </row>
    <row r="226" spans="1:19" ht="27.95" hidden="1" customHeight="1">
      <c r="A226" s="7" t="str">
        <f t="shared" si="34"/>
        <v/>
      </c>
      <c r="B226" s="15"/>
      <c r="C226" s="16"/>
      <c r="D226" s="16"/>
      <c r="E226" s="16"/>
      <c r="F226" s="16"/>
      <c r="G226" s="16"/>
      <c r="H226" s="17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19"/>
    </row>
    <row r="227" spans="1:19" ht="27.95" hidden="1" customHeight="1">
      <c r="A227" s="7" t="str">
        <f t="shared" si="34"/>
        <v/>
      </c>
      <c r="B227" s="15"/>
      <c r="C227" s="16"/>
      <c r="D227" s="16"/>
      <c r="E227" s="16"/>
      <c r="F227" s="16"/>
      <c r="G227" s="16"/>
      <c r="H227" s="17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19"/>
    </row>
    <row r="228" spans="1:19" ht="27.95" hidden="1" customHeight="1">
      <c r="A228" s="7" t="str">
        <f t="shared" si="34"/>
        <v/>
      </c>
      <c r="B228" s="15"/>
      <c r="C228" s="16"/>
      <c r="D228" s="16"/>
      <c r="E228" s="16"/>
      <c r="F228" s="16"/>
      <c r="G228" s="16"/>
      <c r="H228" s="17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19"/>
    </row>
    <row r="229" spans="1:19" ht="27.95" hidden="1" customHeight="1">
      <c r="A229" s="7" t="str">
        <f t="shared" si="34"/>
        <v/>
      </c>
      <c r="B229" s="15"/>
      <c r="C229" s="16"/>
      <c r="D229" s="16"/>
      <c r="E229" s="16"/>
      <c r="F229" s="16"/>
      <c r="G229" s="16"/>
      <c r="H229" s="17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19"/>
    </row>
    <row r="230" spans="1:19" ht="27.95" hidden="1" customHeight="1">
      <c r="A230" s="7" t="str">
        <f t="shared" si="34"/>
        <v/>
      </c>
      <c r="B230" s="15"/>
      <c r="C230" s="16"/>
      <c r="D230" s="16"/>
      <c r="E230" s="16"/>
      <c r="F230" s="16"/>
      <c r="G230" s="16"/>
      <c r="H230" s="17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19"/>
    </row>
    <row r="231" spans="1:19" ht="27.95" hidden="1" customHeight="1">
      <c r="A231" s="7" t="str">
        <f t="shared" si="34"/>
        <v/>
      </c>
      <c r="B231" s="15"/>
      <c r="C231" s="16"/>
      <c r="D231" s="16"/>
      <c r="E231" s="16"/>
      <c r="F231" s="16"/>
      <c r="G231" s="16"/>
      <c r="H231" s="17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19"/>
    </row>
    <row r="232" spans="1:19" ht="27.95" hidden="1" customHeight="1">
      <c r="A232" s="7" t="str">
        <f t="shared" si="34"/>
        <v/>
      </c>
      <c r="B232" s="15"/>
      <c r="C232" s="16"/>
      <c r="D232" s="16"/>
      <c r="E232" s="16"/>
      <c r="F232" s="16"/>
      <c r="G232" s="16"/>
      <c r="H232" s="17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19"/>
    </row>
    <row r="233" spans="1:19" ht="27.95" hidden="1" customHeight="1">
      <c r="A233" s="7" t="str">
        <f t="shared" si="34"/>
        <v/>
      </c>
      <c r="B233" s="15"/>
      <c r="C233" s="16"/>
      <c r="D233" s="16"/>
      <c r="E233" s="16"/>
      <c r="F233" s="16"/>
      <c r="G233" s="16"/>
      <c r="H233" s="17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19"/>
    </row>
    <row r="234" spans="1:19" ht="27.95" hidden="1" customHeight="1">
      <c r="A234" s="7" t="str">
        <f t="shared" si="34"/>
        <v/>
      </c>
      <c r="B234" s="15"/>
      <c r="C234" s="16"/>
      <c r="D234" s="16"/>
      <c r="E234" s="16"/>
      <c r="F234" s="16"/>
      <c r="G234" s="16"/>
      <c r="H234" s="17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19"/>
    </row>
    <row r="235" spans="1:19" ht="27.95" hidden="1" customHeight="1">
      <c r="A235" s="7" t="str">
        <f t="shared" si="34"/>
        <v/>
      </c>
      <c r="B235" s="15"/>
      <c r="C235" s="16"/>
      <c r="D235" s="16"/>
      <c r="E235" s="16"/>
      <c r="F235" s="16"/>
      <c r="G235" s="16"/>
      <c r="H235" s="17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19"/>
    </row>
    <row r="236" spans="1:19" ht="27.95" hidden="1" customHeight="1">
      <c r="A236" s="7" t="str">
        <f t="shared" si="34"/>
        <v/>
      </c>
      <c r="B236" s="15"/>
      <c r="C236" s="16"/>
      <c r="D236" s="16"/>
      <c r="E236" s="16"/>
      <c r="F236" s="16"/>
      <c r="G236" s="16"/>
      <c r="H236" s="17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19"/>
    </row>
    <row r="237" spans="1:19" ht="27.95" hidden="1" customHeight="1">
      <c r="A237" s="7" t="str">
        <f t="shared" si="34"/>
        <v/>
      </c>
      <c r="B237" s="15"/>
      <c r="C237" s="16"/>
      <c r="D237" s="16"/>
      <c r="E237" s="16"/>
      <c r="F237" s="16"/>
      <c r="G237" s="16"/>
      <c r="H237" s="17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19"/>
    </row>
    <row r="238" spans="1:19" ht="27.95" hidden="1" customHeight="1">
      <c r="A238" s="7" t="str">
        <f t="shared" si="34"/>
        <v/>
      </c>
      <c r="B238" s="15"/>
      <c r="C238" s="16"/>
      <c r="D238" s="16"/>
      <c r="E238" s="16"/>
      <c r="F238" s="16"/>
      <c r="G238" s="16"/>
      <c r="H238" s="17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19"/>
    </row>
    <row r="239" spans="1:19" ht="27.95" hidden="1" customHeight="1">
      <c r="A239" s="7" t="str">
        <f t="shared" si="34"/>
        <v/>
      </c>
      <c r="B239" s="15"/>
      <c r="C239" s="16"/>
      <c r="D239" s="16"/>
      <c r="E239" s="16"/>
      <c r="F239" s="16"/>
      <c r="G239" s="16"/>
      <c r="H239" s="17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19"/>
    </row>
    <row r="240" spans="1:19" ht="27.95" hidden="1" customHeight="1">
      <c r="A240" s="7" t="str">
        <f t="shared" si="34"/>
        <v/>
      </c>
      <c r="B240" s="15"/>
      <c r="C240" s="16"/>
      <c r="D240" s="16"/>
      <c r="E240" s="16"/>
      <c r="F240" s="16"/>
      <c r="G240" s="16"/>
      <c r="H240" s="17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19"/>
    </row>
    <row r="241" spans="1:19" ht="27.95" hidden="1" customHeight="1">
      <c r="A241" s="7" t="str">
        <f t="shared" si="34"/>
        <v/>
      </c>
      <c r="B241" s="15"/>
      <c r="C241" s="16"/>
      <c r="D241" s="16"/>
      <c r="E241" s="16"/>
      <c r="F241" s="16"/>
      <c r="G241" s="16"/>
      <c r="H241" s="17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19"/>
    </row>
    <row r="242" spans="1:19" ht="27.95" hidden="1" customHeight="1">
      <c r="A242" s="7" t="str">
        <f t="shared" si="34"/>
        <v/>
      </c>
      <c r="B242" s="15"/>
      <c r="C242" s="16"/>
      <c r="D242" s="16"/>
      <c r="E242" s="16"/>
      <c r="F242" s="16"/>
      <c r="G242" s="16"/>
      <c r="H242" s="17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19"/>
    </row>
    <row r="243" spans="1:19" ht="27.95" hidden="1" customHeight="1">
      <c r="A243" s="7" t="str">
        <f t="shared" si="34"/>
        <v/>
      </c>
      <c r="B243" s="15"/>
      <c r="C243" s="16"/>
      <c r="D243" s="16"/>
      <c r="E243" s="16"/>
      <c r="F243" s="16"/>
      <c r="G243" s="16"/>
      <c r="H243" s="17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19"/>
    </row>
    <row r="244" spans="1:19" ht="27.95" hidden="1" customHeight="1">
      <c r="A244" s="7" t="str">
        <f t="shared" si="34"/>
        <v/>
      </c>
      <c r="B244" s="15"/>
      <c r="C244" s="16"/>
      <c r="D244" s="16"/>
      <c r="E244" s="16"/>
      <c r="F244" s="16"/>
      <c r="G244" s="16"/>
      <c r="H244" s="17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19"/>
    </row>
    <row r="245" spans="1:19" ht="27.95" hidden="1" customHeight="1">
      <c r="A245" s="7" t="str">
        <f t="shared" si="34"/>
        <v/>
      </c>
      <c r="B245" s="15"/>
      <c r="C245" s="16"/>
      <c r="D245" s="16"/>
      <c r="E245" s="16"/>
      <c r="F245" s="16"/>
      <c r="G245" s="16"/>
      <c r="H245" s="17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19"/>
    </row>
    <row r="246" spans="1:19" ht="27.95" hidden="1" customHeight="1">
      <c r="A246" s="7" t="str">
        <f t="shared" si="34"/>
        <v/>
      </c>
      <c r="B246" s="15"/>
      <c r="C246" s="16"/>
      <c r="D246" s="16"/>
      <c r="E246" s="16"/>
      <c r="F246" s="16"/>
      <c r="G246" s="16"/>
      <c r="H246" s="17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19"/>
    </row>
    <row r="247" spans="1:19" ht="27.95" hidden="1" customHeight="1">
      <c r="A247" s="7" t="str">
        <f t="shared" si="34"/>
        <v/>
      </c>
      <c r="B247" s="15"/>
      <c r="C247" s="16"/>
      <c r="D247" s="16"/>
      <c r="E247" s="16"/>
      <c r="F247" s="16"/>
      <c r="G247" s="16"/>
      <c r="H247" s="17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19"/>
    </row>
    <row r="248" spans="1:19" ht="27.95" hidden="1" customHeight="1">
      <c r="A248" s="7" t="str">
        <f t="shared" si="34"/>
        <v/>
      </c>
      <c r="B248" s="15"/>
      <c r="C248" s="16"/>
      <c r="D248" s="16"/>
      <c r="E248" s="16"/>
      <c r="F248" s="16"/>
      <c r="G248" s="16"/>
      <c r="H248" s="17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19"/>
    </row>
    <row r="249" spans="1:19" ht="27.95" hidden="1" customHeight="1">
      <c r="A249" s="7" t="str">
        <f t="shared" si="34"/>
        <v/>
      </c>
      <c r="B249" s="15"/>
      <c r="C249" s="16"/>
      <c r="D249" s="16"/>
      <c r="E249" s="16"/>
      <c r="F249" s="16"/>
      <c r="G249" s="16"/>
      <c r="H249" s="17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19"/>
    </row>
    <row r="250" spans="1:19" ht="27.95" hidden="1" customHeight="1">
      <c r="A250" s="7" t="str">
        <f t="shared" si="34"/>
        <v/>
      </c>
      <c r="B250" s="15"/>
      <c r="C250" s="16"/>
      <c r="D250" s="16"/>
      <c r="E250" s="16"/>
      <c r="F250" s="16"/>
      <c r="G250" s="16"/>
      <c r="H250" s="17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19"/>
    </row>
    <row r="251" spans="1:19" ht="27.95" hidden="1" customHeight="1">
      <c r="A251" s="7" t="str">
        <f t="shared" si="34"/>
        <v/>
      </c>
      <c r="B251" s="15"/>
      <c r="C251" s="16"/>
      <c r="D251" s="16"/>
      <c r="E251" s="16"/>
      <c r="F251" s="16"/>
      <c r="G251" s="16"/>
      <c r="H251" s="17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19"/>
    </row>
    <row r="252" spans="1:19" ht="27.95" hidden="1" customHeight="1">
      <c r="A252" s="7" t="str">
        <f t="shared" si="34"/>
        <v/>
      </c>
      <c r="B252" s="15"/>
      <c r="C252" s="16"/>
      <c r="D252" s="16"/>
      <c r="E252" s="16"/>
      <c r="F252" s="16"/>
      <c r="G252" s="16"/>
      <c r="H252" s="17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19"/>
    </row>
    <row r="253" spans="1:19" ht="27.95" hidden="1" customHeight="1">
      <c r="A253" s="7" t="str">
        <f t="shared" si="34"/>
        <v/>
      </c>
      <c r="B253" s="15"/>
      <c r="C253" s="16"/>
      <c r="D253" s="16"/>
      <c r="E253" s="16"/>
      <c r="F253" s="16"/>
      <c r="G253" s="16"/>
      <c r="H253" s="17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19"/>
    </row>
    <row r="254" spans="1:19" ht="27.95" hidden="1" customHeight="1">
      <c r="A254" s="7" t="str">
        <f t="shared" si="34"/>
        <v/>
      </c>
      <c r="B254" s="15"/>
      <c r="C254" s="16"/>
      <c r="D254" s="16"/>
      <c r="E254" s="16"/>
      <c r="F254" s="16"/>
      <c r="G254" s="16"/>
      <c r="H254" s="17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19"/>
    </row>
    <row r="255" spans="1:19" ht="27.95" hidden="1" customHeight="1">
      <c r="A255" s="7" t="str">
        <f t="shared" si="34"/>
        <v/>
      </c>
      <c r="B255" s="15"/>
      <c r="C255" s="16"/>
      <c r="D255" s="16"/>
      <c r="E255" s="16"/>
      <c r="F255" s="16"/>
      <c r="G255" s="16"/>
      <c r="H255" s="17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19"/>
    </row>
    <row r="256" spans="1:19" ht="27.95" hidden="1" customHeight="1">
      <c r="A256" s="7" t="str">
        <f t="shared" si="34"/>
        <v/>
      </c>
      <c r="B256" s="15"/>
      <c r="C256" s="16"/>
      <c r="D256" s="16"/>
      <c r="E256" s="16"/>
      <c r="F256" s="16"/>
      <c r="G256" s="16"/>
      <c r="H256" s="17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19"/>
    </row>
    <row r="257" spans="1:19" ht="27.95" hidden="1" customHeight="1">
      <c r="A257" s="7" t="str">
        <f t="shared" si="34"/>
        <v/>
      </c>
      <c r="B257" s="15"/>
      <c r="C257" s="16"/>
      <c r="D257" s="16"/>
      <c r="E257" s="16"/>
      <c r="F257" s="16"/>
      <c r="G257" s="16"/>
      <c r="H257" s="17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19"/>
    </row>
    <row r="258" spans="1:19" ht="27.95" hidden="1" customHeight="1">
      <c r="A258" s="7" t="str">
        <f t="shared" si="34"/>
        <v/>
      </c>
      <c r="B258" s="15"/>
      <c r="C258" s="16"/>
      <c r="D258" s="16"/>
      <c r="E258" s="16"/>
      <c r="F258" s="16"/>
      <c r="G258" s="16"/>
      <c r="H258" s="17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19"/>
    </row>
    <row r="259" spans="1:19" ht="27.95" hidden="1" customHeight="1">
      <c r="A259" s="7" t="str">
        <f t="shared" si="34"/>
        <v/>
      </c>
      <c r="B259" s="15"/>
      <c r="C259" s="16"/>
      <c r="D259" s="16"/>
      <c r="E259" s="16"/>
      <c r="F259" s="16"/>
      <c r="G259" s="16"/>
      <c r="H259" s="17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19"/>
    </row>
    <row r="260" spans="1:19" ht="27.95" hidden="1" customHeight="1">
      <c r="A260" s="7" t="str">
        <f t="shared" si="34"/>
        <v/>
      </c>
      <c r="B260" s="15"/>
      <c r="C260" s="16"/>
      <c r="D260" s="16"/>
      <c r="E260" s="16"/>
      <c r="F260" s="16"/>
      <c r="G260" s="16"/>
      <c r="H260" s="17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19"/>
    </row>
    <row r="261" spans="1:19" ht="27.95" hidden="1" customHeight="1">
      <c r="A261" s="7" t="str">
        <f t="shared" si="34"/>
        <v/>
      </c>
      <c r="B261" s="15"/>
      <c r="C261" s="16"/>
      <c r="D261" s="16"/>
      <c r="E261" s="16"/>
      <c r="F261" s="16"/>
      <c r="G261" s="16"/>
      <c r="H261" s="17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19"/>
    </row>
    <row r="262" spans="1:19" ht="27.95" hidden="1" customHeight="1">
      <c r="A262" s="7" t="str">
        <f t="shared" si="34"/>
        <v/>
      </c>
      <c r="B262" s="15"/>
      <c r="C262" s="16"/>
      <c r="D262" s="16"/>
      <c r="E262" s="16"/>
      <c r="F262" s="16"/>
      <c r="G262" s="16"/>
      <c r="H262" s="17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19"/>
    </row>
    <row r="263" spans="1:19" ht="27.95" hidden="1" customHeight="1">
      <c r="A263" s="7" t="str">
        <f t="shared" si="34"/>
        <v/>
      </c>
      <c r="B263" s="15"/>
      <c r="C263" s="16"/>
      <c r="D263" s="16"/>
      <c r="E263" s="16"/>
      <c r="F263" s="16"/>
      <c r="G263" s="16"/>
      <c r="H263" s="17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19"/>
    </row>
    <row r="264" spans="1:19" ht="27.95" hidden="1" customHeight="1">
      <c r="A264" s="7" t="str">
        <f t="shared" si="34"/>
        <v/>
      </c>
      <c r="B264" s="15"/>
      <c r="C264" s="16"/>
      <c r="D264" s="16"/>
      <c r="E264" s="16"/>
      <c r="F264" s="16"/>
      <c r="G264" s="16"/>
      <c r="H264" s="17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19"/>
    </row>
    <row r="265" spans="1:19" ht="27.95" hidden="1" customHeight="1">
      <c r="A265" s="7" t="str">
        <f t="shared" si="34"/>
        <v/>
      </c>
      <c r="B265" s="15"/>
      <c r="C265" s="16"/>
      <c r="D265" s="16"/>
      <c r="E265" s="16"/>
      <c r="F265" s="16"/>
      <c r="G265" s="16"/>
      <c r="H265" s="17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19"/>
    </row>
    <row r="266" spans="1:19" ht="27.95" hidden="1" customHeight="1">
      <c r="A266" s="7" t="str">
        <f t="shared" si="34"/>
        <v/>
      </c>
      <c r="B266" s="15"/>
      <c r="C266" s="16"/>
      <c r="D266" s="16"/>
      <c r="E266" s="16"/>
      <c r="F266" s="16"/>
      <c r="G266" s="16"/>
      <c r="H266" s="17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19"/>
    </row>
    <row r="267" spans="1:19" ht="27.95" hidden="1" customHeight="1">
      <c r="A267" s="7" t="str">
        <f t="shared" si="34"/>
        <v/>
      </c>
      <c r="B267" s="15"/>
      <c r="C267" s="16"/>
      <c r="D267" s="16"/>
      <c r="E267" s="16"/>
      <c r="F267" s="16"/>
      <c r="G267" s="16"/>
      <c r="H267" s="17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19"/>
    </row>
    <row r="268" spans="1:19" ht="27.95" hidden="1" customHeight="1">
      <c r="A268" s="7" t="str">
        <f t="shared" si="34"/>
        <v/>
      </c>
      <c r="B268" s="15"/>
      <c r="C268" s="16"/>
      <c r="D268" s="16"/>
      <c r="E268" s="16"/>
      <c r="F268" s="16"/>
      <c r="G268" s="16"/>
      <c r="H268" s="17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19"/>
    </row>
    <row r="269" spans="1:19" ht="27.95" hidden="1" customHeight="1">
      <c r="A269" s="7" t="str">
        <f t="shared" si="34"/>
        <v/>
      </c>
      <c r="B269" s="15"/>
      <c r="C269" s="16"/>
      <c r="D269" s="16"/>
      <c r="E269" s="16"/>
      <c r="F269" s="16"/>
      <c r="G269" s="16"/>
      <c r="H269" s="17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19"/>
    </row>
    <row r="270" spans="1:19" ht="27.95" hidden="1" customHeight="1">
      <c r="A270" s="7" t="str">
        <f t="shared" si="34"/>
        <v/>
      </c>
      <c r="B270" s="15"/>
      <c r="C270" s="16"/>
      <c r="D270" s="16"/>
      <c r="E270" s="16"/>
      <c r="F270" s="16"/>
      <c r="G270" s="16"/>
      <c r="H270" s="17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19"/>
    </row>
    <row r="271" spans="1:19" ht="27.95" hidden="1" customHeight="1">
      <c r="A271" s="7" t="str">
        <f t="shared" si="34"/>
        <v/>
      </c>
      <c r="B271" s="15"/>
      <c r="C271" s="16"/>
      <c r="D271" s="16"/>
      <c r="E271" s="16"/>
      <c r="F271" s="16"/>
      <c r="G271" s="16"/>
      <c r="H271" s="17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19"/>
    </row>
    <row r="272" spans="1:19" ht="27.95" hidden="1" customHeight="1">
      <c r="A272" s="7" t="str">
        <f t="shared" si="34"/>
        <v/>
      </c>
      <c r="B272" s="15"/>
      <c r="C272" s="16"/>
      <c r="D272" s="16"/>
      <c r="E272" s="16"/>
      <c r="F272" s="16"/>
      <c r="G272" s="16"/>
      <c r="H272" s="17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19"/>
    </row>
    <row r="273" spans="1:19" ht="27.95" hidden="1" customHeight="1">
      <c r="A273" s="7" t="str">
        <f t="shared" si="34"/>
        <v/>
      </c>
      <c r="B273" s="15"/>
      <c r="C273" s="16"/>
      <c r="D273" s="16"/>
      <c r="E273" s="16"/>
      <c r="F273" s="16"/>
      <c r="G273" s="16"/>
      <c r="H273" s="17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19"/>
    </row>
    <row r="274" spans="1:19" ht="27.95" hidden="1" customHeight="1">
      <c r="A274" s="7" t="str">
        <f t="shared" si="34"/>
        <v/>
      </c>
      <c r="B274" s="15"/>
      <c r="C274" s="16"/>
      <c r="D274" s="16"/>
      <c r="E274" s="16"/>
      <c r="F274" s="16"/>
      <c r="G274" s="16"/>
      <c r="H274" s="17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19"/>
    </row>
    <row r="275" spans="1:19" ht="27.95" hidden="1" customHeight="1">
      <c r="A275" s="7" t="str">
        <f t="shared" si="34"/>
        <v/>
      </c>
      <c r="B275" s="15"/>
      <c r="C275" s="16"/>
      <c r="D275" s="16"/>
      <c r="E275" s="16"/>
      <c r="F275" s="16"/>
      <c r="G275" s="16"/>
      <c r="H275" s="17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19"/>
    </row>
    <row r="276" spans="1:19" ht="27.95" hidden="1" customHeight="1">
      <c r="A276" s="7" t="str">
        <f t="shared" si="34"/>
        <v/>
      </c>
      <c r="B276" s="15"/>
      <c r="C276" s="16"/>
      <c r="D276" s="16"/>
      <c r="E276" s="16"/>
      <c r="F276" s="16"/>
      <c r="G276" s="16"/>
      <c r="H276" s="17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19"/>
    </row>
    <row r="277" spans="1:19" ht="27.95" hidden="1" customHeight="1">
      <c r="A277" s="7" t="str">
        <f t="shared" si="34"/>
        <v/>
      </c>
      <c r="B277" s="15"/>
      <c r="C277" s="16"/>
      <c r="D277" s="16"/>
      <c r="E277" s="16"/>
      <c r="F277" s="16"/>
      <c r="G277" s="16"/>
      <c r="H277" s="17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19"/>
    </row>
    <row r="278" spans="1:19" ht="27.95" hidden="1" customHeight="1">
      <c r="A278" s="7" t="str">
        <f t="shared" si="34"/>
        <v/>
      </c>
      <c r="B278" s="15"/>
      <c r="C278" s="16"/>
      <c r="D278" s="16"/>
      <c r="E278" s="16"/>
      <c r="F278" s="16"/>
      <c r="G278" s="16"/>
      <c r="H278" s="17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19"/>
    </row>
    <row r="279" spans="1:19" ht="27.95" hidden="1" customHeight="1">
      <c r="A279" s="7" t="str">
        <f t="shared" si="34"/>
        <v/>
      </c>
      <c r="B279" s="15"/>
      <c r="C279" s="16"/>
      <c r="D279" s="16"/>
      <c r="E279" s="16"/>
      <c r="F279" s="16"/>
      <c r="G279" s="16"/>
      <c r="H279" s="17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19"/>
    </row>
    <row r="280" spans="1:19" ht="27.95" hidden="1" customHeight="1">
      <c r="A280" s="7" t="str">
        <f t="shared" si="34"/>
        <v/>
      </c>
      <c r="B280" s="15"/>
      <c r="C280" s="16"/>
      <c r="D280" s="16"/>
      <c r="E280" s="16"/>
      <c r="F280" s="16"/>
      <c r="G280" s="16"/>
      <c r="H280" s="17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19"/>
    </row>
    <row r="281" spans="1:19" ht="27.95" hidden="1" customHeight="1">
      <c r="A281" s="7" t="str">
        <f t="shared" ref="A281:A344" si="35">IF(B281="","","PRINT")</f>
        <v/>
      </c>
      <c r="B281" s="15"/>
      <c r="C281" s="16"/>
      <c r="D281" s="16"/>
      <c r="E281" s="16"/>
      <c r="F281" s="16"/>
      <c r="G281" s="16"/>
      <c r="H281" s="17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19"/>
    </row>
    <row r="282" spans="1:19" ht="27.95" hidden="1" customHeight="1">
      <c r="A282" s="7" t="str">
        <f t="shared" si="35"/>
        <v/>
      </c>
      <c r="B282" s="15"/>
      <c r="C282" s="16"/>
      <c r="D282" s="16"/>
      <c r="E282" s="16"/>
      <c r="F282" s="16"/>
      <c r="G282" s="16"/>
      <c r="H282" s="17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19"/>
    </row>
    <row r="283" spans="1:19" ht="27.95" hidden="1" customHeight="1">
      <c r="A283" s="7" t="str">
        <f t="shared" si="35"/>
        <v/>
      </c>
      <c r="B283" s="15"/>
      <c r="C283" s="16"/>
      <c r="D283" s="16"/>
      <c r="E283" s="16"/>
      <c r="F283" s="16"/>
      <c r="G283" s="16"/>
      <c r="H283" s="17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19"/>
    </row>
    <row r="284" spans="1:19" ht="27.95" hidden="1" customHeight="1">
      <c r="A284" s="7" t="str">
        <f t="shared" si="35"/>
        <v/>
      </c>
      <c r="B284" s="15"/>
      <c r="C284" s="16"/>
      <c r="D284" s="16"/>
      <c r="E284" s="16"/>
      <c r="F284" s="16"/>
      <c r="G284" s="16"/>
      <c r="H284" s="17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19"/>
    </row>
    <row r="285" spans="1:19" ht="27.95" hidden="1" customHeight="1">
      <c r="A285" s="7" t="str">
        <f t="shared" si="35"/>
        <v/>
      </c>
      <c r="B285" s="15"/>
      <c r="C285" s="16"/>
      <c r="D285" s="16"/>
      <c r="E285" s="16"/>
      <c r="F285" s="16"/>
      <c r="G285" s="16"/>
      <c r="H285" s="17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19"/>
    </row>
    <row r="286" spans="1:19" ht="27.95" hidden="1" customHeight="1">
      <c r="A286" s="7" t="str">
        <f t="shared" si="35"/>
        <v/>
      </c>
      <c r="B286" s="15"/>
      <c r="C286" s="16"/>
      <c r="D286" s="16"/>
      <c r="E286" s="16"/>
      <c r="F286" s="16"/>
      <c r="G286" s="16"/>
      <c r="H286" s="17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19"/>
    </row>
    <row r="287" spans="1:19" ht="27.95" hidden="1" customHeight="1">
      <c r="A287" s="7" t="str">
        <f t="shared" si="35"/>
        <v/>
      </c>
      <c r="B287" s="15"/>
      <c r="C287" s="16"/>
      <c r="D287" s="16"/>
      <c r="E287" s="16"/>
      <c r="F287" s="16"/>
      <c r="G287" s="16"/>
      <c r="H287" s="17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19"/>
    </row>
    <row r="288" spans="1:19" ht="27.95" hidden="1" customHeight="1">
      <c r="A288" s="7" t="str">
        <f t="shared" si="35"/>
        <v/>
      </c>
      <c r="B288" s="15"/>
      <c r="C288" s="16"/>
      <c r="D288" s="16"/>
      <c r="E288" s="16"/>
      <c r="F288" s="16"/>
      <c r="G288" s="16"/>
      <c r="H288" s="17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19"/>
    </row>
    <row r="289" spans="1:19" ht="27.95" hidden="1" customHeight="1">
      <c r="A289" s="7" t="str">
        <f t="shared" si="35"/>
        <v/>
      </c>
      <c r="B289" s="15"/>
      <c r="C289" s="16"/>
      <c r="D289" s="16"/>
      <c r="E289" s="16"/>
      <c r="F289" s="16"/>
      <c r="G289" s="16"/>
      <c r="H289" s="17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19"/>
    </row>
    <row r="290" spans="1:19" ht="27.95" hidden="1" customHeight="1">
      <c r="A290" s="7" t="str">
        <f t="shared" si="35"/>
        <v/>
      </c>
      <c r="B290" s="15"/>
      <c r="C290" s="16"/>
      <c r="D290" s="16"/>
      <c r="E290" s="16"/>
      <c r="F290" s="16"/>
      <c r="G290" s="16"/>
      <c r="H290" s="17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19"/>
    </row>
    <row r="291" spans="1:19" ht="27.95" hidden="1" customHeight="1">
      <c r="A291" s="7" t="str">
        <f t="shared" si="35"/>
        <v/>
      </c>
      <c r="B291" s="15"/>
      <c r="C291" s="16"/>
      <c r="D291" s="16"/>
      <c r="E291" s="16"/>
      <c r="F291" s="16"/>
      <c r="G291" s="16"/>
      <c r="H291" s="17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19"/>
    </row>
    <row r="292" spans="1:19" ht="27.95" hidden="1" customHeight="1">
      <c r="A292" s="7" t="str">
        <f t="shared" si="35"/>
        <v/>
      </c>
      <c r="B292" s="15"/>
      <c r="C292" s="16"/>
      <c r="D292" s="16"/>
      <c r="E292" s="16"/>
      <c r="F292" s="16"/>
      <c r="G292" s="16"/>
      <c r="H292" s="17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19"/>
    </row>
    <row r="293" spans="1:19" ht="27.95" hidden="1" customHeight="1">
      <c r="A293" s="7" t="str">
        <f t="shared" si="35"/>
        <v/>
      </c>
      <c r="B293" s="15"/>
      <c r="C293" s="16"/>
      <c r="D293" s="16"/>
      <c r="E293" s="16"/>
      <c r="F293" s="16"/>
      <c r="G293" s="16"/>
      <c r="H293" s="17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19"/>
    </row>
    <row r="294" spans="1:19" ht="27.95" hidden="1" customHeight="1">
      <c r="A294" s="7" t="str">
        <f t="shared" si="35"/>
        <v/>
      </c>
      <c r="B294" s="15"/>
      <c r="C294" s="16"/>
      <c r="D294" s="16"/>
      <c r="E294" s="16"/>
      <c r="F294" s="16"/>
      <c r="G294" s="16"/>
      <c r="H294" s="17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19"/>
    </row>
    <row r="295" spans="1:19" ht="27.95" hidden="1" customHeight="1">
      <c r="A295" s="7" t="str">
        <f t="shared" si="35"/>
        <v/>
      </c>
      <c r="B295" s="15"/>
      <c r="C295" s="16"/>
      <c r="D295" s="16"/>
      <c r="E295" s="16"/>
      <c r="F295" s="16"/>
      <c r="G295" s="16"/>
      <c r="H295" s="17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19"/>
    </row>
    <row r="296" spans="1:19" ht="27.95" hidden="1" customHeight="1">
      <c r="A296" s="7" t="str">
        <f t="shared" si="35"/>
        <v/>
      </c>
      <c r="B296" s="15"/>
      <c r="C296" s="16"/>
      <c r="D296" s="16"/>
      <c r="E296" s="16"/>
      <c r="F296" s="16"/>
      <c r="G296" s="16"/>
      <c r="H296" s="17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19"/>
    </row>
    <row r="297" spans="1:19" ht="27.95" hidden="1" customHeight="1">
      <c r="A297" s="7" t="str">
        <f t="shared" si="35"/>
        <v/>
      </c>
      <c r="B297" s="15"/>
      <c r="C297" s="16"/>
      <c r="D297" s="16"/>
      <c r="E297" s="16"/>
      <c r="F297" s="16"/>
      <c r="G297" s="16"/>
      <c r="H297" s="17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19"/>
    </row>
    <row r="298" spans="1:19" ht="27.95" hidden="1" customHeight="1">
      <c r="A298" s="7" t="str">
        <f t="shared" si="35"/>
        <v/>
      </c>
      <c r="B298" s="15"/>
      <c r="C298" s="16"/>
      <c r="D298" s="16"/>
      <c r="E298" s="16"/>
      <c r="F298" s="16"/>
      <c r="G298" s="16"/>
      <c r="H298" s="17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19"/>
    </row>
    <row r="299" spans="1:19" ht="27.95" hidden="1" customHeight="1">
      <c r="A299" s="7" t="str">
        <f t="shared" si="35"/>
        <v/>
      </c>
      <c r="B299" s="15"/>
      <c r="C299" s="16"/>
      <c r="D299" s="16"/>
      <c r="E299" s="16"/>
      <c r="F299" s="16"/>
      <c r="G299" s="16"/>
      <c r="H299" s="17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19"/>
    </row>
    <row r="300" spans="1:19" ht="27.95" hidden="1" customHeight="1">
      <c r="A300" s="7" t="str">
        <f t="shared" si="35"/>
        <v/>
      </c>
      <c r="B300" s="15"/>
      <c r="C300" s="16"/>
      <c r="D300" s="16"/>
      <c r="E300" s="16"/>
      <c r="F300" s="16"/>
      <c r="G300" s="16"/>
      <c r="H300" s="17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19"/>
    </row>
    <row r="301" spans="1:19" ht="27.95" hidden="1" customHeight="1">
      <c r="A301" s="7" t="str">
        <f t="shared" si="35"/>
        <v/>
      </c>
      <c r="B301" s="15"/>
      <c r="C301" s="16"/>
      <c r="D301" s="16"/>
      <c r="E301" s="16"/>
      <c r="F301" s="16"/>
      <c r="G301" s="16"/>
      <c r="H301" s="17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19"/>
    </row>
    <row r="302" spans="1:19" ht="27.95" hidden="1" customHeight="1">
      <c r="A302" s="7" t="str">
        <f t="shared" si="35"/>
        <v/>
      </c>
      <c r="B302" s="15"/>
      <c r="C302" s="16"/>
      <c r="D302" s="16"/>
      <c r="E302" s="16"/>
      <c r="F302" s="16"/>
      <c r="G302" s="16"/>
      <c r="H302" s="17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19"/>
    </row>
    <row r="303" spans="1:19" ht="27.95" hidden="1" customHeight="1">
      <c r="A303" s="7" t="str">
        <f t="shared" si="35"/>
        <v/>
      </c>
      <c r="B303" s="15"/>
      <c r="C303" s="16"/>
      <c r="D303" s="16"/>
      <c r="E303" s="16"/>
      <c r="F303" s="16"/>
      <c r="G303" s="16"/>
      <c r="H303" s="17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19"/>
    </row>
    <row r="304" spans="1:19" ht="27.95" hidden="1" customHeight="1">
      <c r="A304" s="7" t="str">
        <f t="shared" si="35"/>
        <v/>
      </c>
      <c r="B304" s="15"/>
      <c r="C304" s="16"/>
      <c r="D304" s="16"/>
      <c r="E304" s="16"/>
      <c r="F304" s="16"/>
      <c r="G304" s="16"/>
      <c r="H304" s="17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19"/>
    </row>
    <row r="305" spans="1:19" ht="27.95" hidden="1" customHeight="1">
      <c r="A305" s="7" t="str">
        <f t="shared" si="35"/>
        <v/>
      </c>
      <c r="B305" s="15"/>
      <c r="C305" s="16"/>
      <c r="D305" s="16"/>
      <c r="E305" s="16"/>
      <c r="F305" s="16"/>
      <c r="G305" s="16"/>
      <c r="H305" s="17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19"/>
    </row>
    <row r="306" spans="1:19" ht="27.95" hidden="1" customHeight="1">
      <c r="A306" s="7" t="str">
        <f t="shared" si="35"/>
        <v/>
      </c>
      <c r="B306" s="15"/>
      <c r="C306" s="16"/>
      <c r="D306" s="16"/>
      <c r="E306" s="16"/>
      <c r="F306" s="16"/>
      <c r="G306" s="16"/>
      <c r="H306" s="17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19"/>
    </row>
    <row r="307" spans="1:19" ht="27.95" hidden="1" customHeight="1">
      <c r="A307" s="7" t="str">
        <f t="shared" si="35"/>
        <v/>
      </c>
      <c r="B307" s="15"/>
      <c r="C307" s="16"/>
      <c r="D307" s="16"/>
      <c r="E307" s="16"/>
      <c r="F307" s="16"/>
      <c r="G307" s="16"/>
      <c r="H307" s="17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19"/>
    </row>
    <row r="308" spans="1:19" ht="27.95" hidden="1" customHeight="1">
      <c r="A308" s="7" t="str">
        <f t="shared" si="35"/>
        <v/>
      </c>
      <c r="B308" s="15"/>
      <c r="C308" s="16"/>
      <c r="D308" s="16"/>
      <c r="E308" s="16"/>
      <c r="F308" s="16"/>
      <c r="G308" s="16"/>
      <c r="H308" s="17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19"/>
    </row>
    <row r="309" spans="1:19" ht="27.95" hidden="1" customHeight="1">
      <c r="A309" s="7" t="str">
        <f t="shared" si="35"/>
        <v/>
      </c>
      <c r="B309" s="15"/>
      <c r="C309" s="16"/>
      <c r="D309" s="16"/>
      <c r="E309" s="16"/>
      <c r="F309" s="16"/>
      <c r="G309" s="16"/>
      <c r="H309" s="17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19"/>
    </row>
    <row r="310" spans="1:19" ht="27.95" hidden="1" customHeight="1">
      <c r="A310" s="7" t="str">
        <f t="shared" si="35"/>
        <v/>
      </c>
      <c r="B310" s="15"/>
      <c r="C310" s="16"/>
      <c r="D310" s="16"/>
      <c r="E310" s="16"/>
      <c r="F310" s="16"/>
      <c r="G310" s="16"/>
      <c r="H310" s="17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19"/>
    </row>
    <row r="311" spans="1:19" ht="27.95" hidden="1" customHeight="1">
      <c r="A311" s="7" t="str">
        <f t="shared" si="35"/>
        <v/>
      </c>
      <c r="B311" s="15"/>
      <c r="C311" s="16"/>
      <c r="D311" s="16"/>
      <c r="E311" s="16"/>
      <c r="F311" s="16"/>
      <c r="G311" s="16"/>
      <c r="H311" s="17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19"/>
    </row>
    <row r="312" spans="1:19" ht="27.95" hidden="1" customHeight="1">
      <c r="A312" s="7" t="str">
        <f t="shared" si="35"/>
        <v/>
      </c>
      <c r="B312" s="15"/>
      <c r="C312" s="16"/>
      <c r="D312" s="16"/>
      <c r="E312" s="16"/>
      <c r="F312" s="16"/>
      <c r="G312" s="16"/>
      <c r="H312" s="17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19"/>
    </row>
    <row r="313" spans="1:19" ht="27.95" hidden="1" customHeight="1">
      <c r="A313" s="7" t="str">
        <f t="shared" si="35"/>
        <v/>
      </c>
      <c r="B313" s="15"/>
      <c r="C313" s="16"/>
      <c r="D313" s="16"/>
      <c r="E313" s="16"/>
      <c r="F313" s="16"/>
      <c r="G313" s="16"/>
      <c r="H313" s="17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19"/>
    </row>
    <row r="314" spans="1:19" ht="27.95" hidden="1" customHeight="1">
      <c r="A314" s="7" t="str">
        <f t="shared" si="35"/>
        <v/>
      </c>
      <c r="B314" s="15"/>
      <c r="C314" s="16"/>
      <c r="D314" s="16"/>
      <c r="E314" s="16"/>
      <c r="F314" s="16"/>
      <c r="G314" s="16"/>
      <c r="H314" s="17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19"/>
    </row>
    <row r="315" spans="1:19" ht="27.95" hidden="1" customHeight="1">
      <c r="A315" s="7" t="str">
        <f t="shared" si="35"/>
        <v/>
      </c>
      <c r="B315" s="15"/>
      <c r="C315" s="16"/>
      <c r="D315" s="16"/>
      <c r="E315" s="16"/>
      <c r="F315" s="16"/>
      <c r="G315" s="16"/>
      <c r="H315" s="17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19"/>
    </row>
    <row r="316" spans="1:19" ht="27.95" hidden="1" customHeight="1">
      <c r="A316" s="7" t="str">
        <f t="shared" si="35"/>
        <v/>
      </c>
      <c r="B316" s="15"/>
      <c r="C316" s="16"/>
      <c r="D316" s="16"/>
      <c r="E316" s="16"/>
      <c r="F316" s="16"/>
      <c r="G316" s="16"/>
      <c r="H316" s="17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19"/>
    </row>
    <row r="317" spans="1:19" ht="27.95" hidden="1" customHeight="1">
      <c r="A317" s="7" t="str">
        <f t="shared" si="35"/>
        <v/>
      </c>
      <c r="B317" s="15"/>
      <c r="C317" s="16"/>
      <c r="D317" s="16"/>
      <c r="E317" s="16"/>
      <c r="F317" s="16"/>
      <c r="G317" s="16"/>
      <c r="H317" s="17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19"/>
    </row>
    <row r="318" spans="1:19" ht="27.95" hidden="1" customHeight="1">
      <c r="A318" s="7" t="str">
        <f t="shared" si="35"/>
        <v/>
      </c>
      <c r="B318" s="15"/>
      <c r="C318" s="16"/>
      <c r="D318" s="16"/>
      <c r="E318" s="16"/>
      <c r="F318" s="16"/>
      <c r="G318" s="16"/>
      <c r="H318" s="17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19"/>
    </row>
    <row r="319" spans="1:19" ht="27.95" hidden="1" customHeight="1">
      <c r="A319" s="7" t="str">
        <f t="shared" si="35"/>
        <v/>
      </c>
      <c r="B319" s="15"/>
      <c r="C319" s="16"/>
      <c r="D319" s="16"/>
      <c r="E319" s="16"/>
      <c r="F319" s="16"/>
      <c r="G319" s="16"/>
      <c r="H319" s="17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19"/>
    </row>
    <row r="320" spans="1:19" ht="27.95" hidden="1" customHeight="1">
      <c r="A320" s="7" t="str">
        <f t="shared" si="35"/>
        <v/>
      </c>
      <c r="B320" s="15"/>
      <c r="C320" s="16"/>
      <c r="D320" s="16"/>
      <c r="E320" s="16"/>
      <c r="F320" s="16"/>
      <c r="G320" s="16"/>
      <c r="H320" s="17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19"/>
    </row>
    <row r="321" spans="1:19" ht="27.95" hidden="1" customHeight="1">
      <c r="A321" s="7" t="str">
        <f t="shared" si="35"/>
        <v/>
      </c>
      <c r="B321" s="15"/>
      <c r="C321" s="16"/>
      <c r="D321" s="16"/>
      <c r="E321" s="16"/>
      <c r="F321" s="16"/>
      <c r="G321" s="16"/>
      <c r="H321" s="17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19"/>
    </row>
    <row r="322" spans="1:19" ht="27.95" hidden="1" customHeight="1">
      <c r="A322" s="7" t="str">
        <f t="shared" si="35"/>
        <v/>
      </c>
      <c r="B322" s="15"/>
      <c r="C322" s="16"/>
      <c r="D322" s="16"/>
      <c r="E322" s="16"/>
      <c r="F322" s="16"/>
      <c r="G322" s="16"/>
      <c r="H322" s="17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19"/>
    </row>
    <row r="323" spans="1:19" ht="27.95" hidden="1" customHeight="1">
      <c r="A323" s="7" t="str">
        <f t="shared" si="35"/>
        <v/>
      </c>
      <c r="B323" s="15"/>
      <c r="C323" s="16"/>
      <c r="D323" s="16"/>
      <c r="E323" s="16"/>
      <c r="F323" s="16"/>
      <c r="G323" s="16"/>
      <c r="H323" s="17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19"/>
    </row>
    <row r="324" spans="1:19" ht="27.95" hidden="1" customHeight="1">
      <c r="A324" s="7" t="str">
        <f t="shared" si="35"/>
        <v/>
      </c>
      <c r="B324" s="15"/>
      <c r="C324" s="16"/>
      <c r="D324" s="16"/>
      <c r="E324" s="16"/>
      <c r="F324" s="16"/>
      <c r="G324" s="16"/>
      <c r="H324" s="17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19"/>
    </row>
    <row r="325" spans="1:19" ht="27.95" hidden="1" customHeight="1">
      <c r="A325" s="7" t="str">
        <f t="shared" si="35"/>
        <v/>
      </c>
      <c r="B325" s="15"/>
      <c r="C325" s="16"/>
      <c r="D325" s="16"/>
      <c r="E325" s="16"/>
      <c r="F325" s="16"/>
      <c r="G325" s="16"/>
      <c r="H325" s="17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19"/>
    </row>
    <row r="326" spans="1:19" ht="27.95" hidden="1" customHeight="1">
      <c r="A326" s="7" t="str">
        <f t="shared" si="35"/>
        <v/>
      </c>
      <c r="B326" s="15"/>
      <c r="C326" s="16"/>
      <c r="D326" s="16"/>
      <c r="E326" s="16"/>
      <c r="F326" s="16"/>
      <c r="G326" s="16"/>
      <c r="H326" s="17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19"/>
    </row>
    <row r="327" spans="1:19" ht="27.95" hidden="1" customHeight="1">
      <c r="A327" s="7" t="str">
        <f t="shared" si="35"/>
        <v/>
      </c>
      <c r="B327" s="15"/>
      <c r="C327" s="16"/>
      <c r="D327" s="16"/>
      <c r="E327" s="16"/>
      <c r="F327" s="16"/>
      <c r="G327" s="16"/>
      <c r="H327" s="17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19"/>
    </row>
    <row r="328" spans="1:19" ht="27.95" hidden="1" customHeight="1">
      <c r="A328" s="7" t="str">
        <f t="shared" si="35"/>
        <v/>
      </c>
      <c r="B328" s="15"/>
      <c r="C328" s="16"/>
      <c r="D328" s="16"/>
      <c r="E328" s="16"/>
      <c r="F328" s="16"/>
      <c r="G328" s="16"/>
      <c r="H328" s="17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19"/>
    </row>
    <row r="329" spans="1:19" ht="27.95" hidden="1" customHeight="1">
      <c r="A329" s="7" t="str">
        <f t="shared" si="35"/>
        <v/>
      </c>
      <c r="B329" s="15"/>
      <c r="C329" s="16"/>
      <c r="D329" s="16"/>
      <c r="E329" s="16"/>
      <c r="F329" s="16"/>
      <c r="G329" s="16"/>
      <c r="H329" s="17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19"/>
    </row>
    <row r="330" spans="1:19" ht="27.95" hidden="1" customHeight="1">
      <c r="A330" s="7" t="str">
        <f t="shared" si="35"/>
        <v/>
      </c>
      <c r="B330" s="15"/>
      <c r="C330" s="16"/>
      <c r="D330" s="16"/>
      <c r="E330" s="16"/>
      <c r="F330" s="16"/>
      <c r="G330" s="16"/>
      <c r="H330" s="17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19"/>
    </row>
    <row r="331" spans="1:19" ht="27.95" hidden="1" customHeight="1">
      <c r="A331" s="7" t="str">
        <f t="shared" si="35"/>
        <v/>
      </c>
      <c r="B331" s="15"/>
      <c r="C331" s="16"/>
      <c r="D331" s="16"/>
      <c r="E331" s="16"/>
      <c r="F331" s="16"/>
      <c r="G331" s="16"/>
      <c r="H331" s="17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19"/>
    </row>
    <row r="332" spans="1:19" ht="27.95" hidden="1" customHeight="1">
      <c r="A332" s="7" t="str">
        <f t="shared" si="35"/>
        <v/>
      </c>
      <c r="B332" s="15"/>
      <c r="C332" s="16"/>
      <c r="D332" s="16"/>
      <c r="E332" s="16"/>
      <c r="F332" s="16"/>
      <c r="G332" s="16"/>
      <c r="H332" s="17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19"/>
    </row>
    <row r="333" spans="1:19" ht="27.95" hidden="1" customHeight="1">
      <c r="A333" s="7" t="str">
        <f t="shared" si="35"/>
        <v/>
      </c>
      <c r="B333" s="15"/>
      <c r="C333" s="16"/>
      <c r="D333" s="16"/>
      <c r="E333" s="16"/>
      <c r="F333" s="16"/>
      <c r="G333" s="16"/>
      <c r="H333" s="17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19"/>
    </row>
    <row r="334" spans="1:19" ht="27.95" hidden="1" customHeight="1">
      <c r="A334" s="7" t="str">
        <f t="shared" si="35"/>
        <v/>
      </c>
      <c r="B334" s="15"/>
      <c r="C334" s="16"/>
      <c r="D334" s="16"/>
      <c r="E334" s="16"/>
      <c r="F334" s="16"/>
      <c r="G334" s="16"/>
      <c r="H334" s="17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19"/>
    </row>
    <row r="335" spans="1:19" ht="27.95" hidden="1" customHeight="1">
      <c r="A335" s="7" t="str">
        <f t="shared" si="35"/>
        <v/>
      </c>
      <c r="B335" s="15"/>
      <c r="C335" s="16"/>
      <c r="D335" s="16"/>
      <c r="E335" s="16"/>
      <c r="F335" s="16"/>
      <c r="G335" s="16"/>
      <c r="H335" s="17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19"/>
    </row>
    <row r="336" spans="1:19" ht="27.95" hidden="1" customHeight="1">
      <c r="A336" s="7" t="str">
        <f t="shared" si="35"/>
        <v/>
      </c>
      <c r="B336" s="15"/>
      <c r="C336" s="16"/>
      <c r="D336" s="16"/>
      <c r="E336" s="16"/>
      <c r="F336" s="16"/>
      <c r="G336" s="16"/>
      <c r="H336" s="17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19"/>
    </row>
    <row r="337" spans="1:19" ht="27.95" hidden="1" customHeight="1">
      <c r="A337" s="7" t="str">
        <f t="shared" si="35"/>
        <v/>
      </c>
      <c r="B337" s="15"/>
      <c r="C337" s="16"/>
      <c r="D337" s="16"/>
      <c r="E337" s="16"/>
      <c r="F337" s="16"/>
      <c r="G337" s="16"/>
      <c r="H337" s="17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19"/>
    </row>
    <row r="338" spans="1:19" ht="27.95" hidden="1" customHeight="1">
      <c r="A338" s="7" t="str">
        <f t="shared" si="35"/>
        <v/>
      </c>
      <c r="B338" s="15"/>
      <c r="C338" s="16"/>
      <c r="D338" s="16"/>
      <c r="E338" s="16"/>
      <c r="F338" s="16"/>
      <c r="G338" s="16"/>
      <c r="H338" s="17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19"/>
    </row>
    <row r="339" spans="1:19" ht="27.95" hidden="1" customHeight="1">
      <c r="A339" s="7" t="str">
        <f t="shared" si="35"/>
        <v/>
      </c>
      <c r="B339" s="15"/>
      <c r="C339" s="16"/>
      <c r="D339" s="16"/>
      <c r="E339" s="16"/>
      <c r="F339" s="16"/>
      <c r="G339" s="16"/>
      <c r="H339" s="17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19"/>
    </row>
    <row r="340" spans="1:19" ht="27.95" hidden="1" customHeight="1">
      <c r="A340" s="7" t="str">
        <f t="shared" si="35"/>
        <v/>
      </c>
      <c r="B340" s="15"/>
      <c r="C340" s="16"/>
      <c r="D340" s="16"/>
      <c r="E340" s="16"/>
      <c r="F340" s="16"/>
      <c r="G340" s="16"/>
      <c r="H340" s="17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19"/>
    </row>
    <row r="341" spans="1:19" ht="27.95" hidden="1" customHeight="1">
      <c r="A341" s="7" t="str">
        <f t="shared" si="35"/>
        <v/>
      </c>
      <c r="B341" s="15"/>
      <c r="C341" s="16"/>
      <c r="D341" s="16"/>
      <c r="E341" s="16"/>
      <c r="F341" s="16"/>
      <c r="G341" s="16"/>
      <c r="H341" s="17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19"/>
    </row>
    <row r="342" spans="1:19" ht="27.95" hidden="1" customHeight="1">
      <c r="A342" s="7" t="str">
        <f t="shared" si="35"/>
        <v/>
      </c>
      <c r="B342" s="15"/>
      <c r="C342" s="16"/>
      <c r="D342" s="16"/>
      <c r="E342" s="16"/>
      <c r="F342" s="16"/>
      <c r="G342" s="16"/>
      <c r="H342" s="17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19"/>
    </row>
    <row r="343" spans="1:19" ht="27.95" hidden="1" customHeight="1">
      <c r="A343" s="7" t="str">
        <f t="shared" si="35"/>
        <v/>
      </c>
      <c r="B343" s="15"/>
      <c r="C343" s="16"/>
      <c r="D343" s="16"/>
      <c r="E343" s="16"/>
      <c r="F343" s="16"/>
      <c r="G343" s="16"/>
      <c r="H343" s="17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19"/>
    </row>
    <row r="344" spans="1:19" ht="27.95" hidden="1" customHeight="1">
      <c r="A344" s="7" t="str">
        <f t="shared" si="35"/>
        <v/>
      </c>
      <c r="B344" s="15"/>
      <c r="C344" s="16"/>
      <c r="D344" s="16"/>
      <c r="E344" s="16"/>
      <c r="F344" s="16"/>
      <c r="G344" s="16"/>
      <c r="H344" s="17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19"/>
    </row>
    <row r="345" spans="1:19" ht="27.95" hidden="1" customHeight="1">
      <c r="A345" s="7" t="str">
        <f t="shared" ref="A345:A408" si="36">IF(B345="","","PRINT")</f>
        <v/>
      </c>
      <c r="B345" s="15"/>
      <c r="C345" s="16"/>
      <c r="D345" s="16"/>
      <c r="E345" s="16"/>
      <c r="F345" s="16"/>
      <c r="G345" s="16"/>
      <c r="H345" s="17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19"/>
    </row>
    <row r="346" spans="1:19" ht="27.95" hidden="1" customHeight="1">
      <c r="A346" s="7" t="str">
        <f t="shared" si="36"/>
        <v/>
      </c>
      <c r="B346" s="15"/>
      <c r="C346" s="16"/>
      <c r="D346" s="16"/>
      <c r="E346" s="16"/>
      <c r="F346" s="16"/>
      <c r="G346" s="16"/>
      <c r="H346" s="17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19"/>
    </row>
    <row r="347" spans="1:19" ht="27.95" hidden="1" customHeight="1">
      <c r="A347" s="7" t="str">
        <f t="shared" si="36"/>
        <v/>
      </c>
      <c r="B347" s="15"/>
      <c r="C347" s="16"/>
      <c r="D347" s="16"/>
      <c r="E347" s="16"/>
      <c r="F347" s="16"/>
      <c r="G347" s="16"/>
      <c r="H347" s="17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19"/>
    </row>
    <row r="348" spans="1:19" ht="27.95" hidden="1" customHeight="1">
      <c r="A348" s="7" t="str">
        <f t="shared" si="36"/>
        <v/>
      </c>
      <c r="B348" s="15"/>
      <c r="C348" s="16"/>
      <c r="D348" s="16"/>
      <c r="E348" s="16"/>
      <c r="F348" s="16"/>
      <c r="G348" s="16"/>
      <c r="H348" s="17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19"/>
    </row>
    <row r="349" spans="1:19" ht="27.95" hidden="1" customHeight="1">
      <c r="A349" s="7" t="str">
        <f t="shared" si="36"/>
        <v/>
      </c>
      <c r="B349" s="15"/>
      <c r="C349" s="16"/>
      <c r="D349" s="16"/>
      <c r="E349" s="16"/>
      <c r="F349" s="16"/>
      <c r="G349" s="16"/>
      <c r="H349" s="17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19"/>
    </row>
    <row r="350" spans="1:19" ht="27.95" hidden="1" customHeight="1">
      <c r="A350" s="7" t="str">
        <f t="shared" si="36"/>
        <v/>
      </c>
      <c r="B350" s="15"/>
      <c r="C350" s="16"/>
      <c r="D350" s="16"/>
      <c r="E350" s="16"/>
      <c r="F350" s="16"/>
      <c r="G350" s="16"/>
      <c r="H350" s="17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19"/>
    </row>
    <row r="351" spans="1:19" ht="27.95" hidden="1" customHeight="1">
      <c r="A351" s="7" t="str">
        <f t="shared" si="36"/>
        <v/>
      </c>
      <c r="B351" s="15"/>
      <c r="C351" s="16"/>
      <c r="D351" s="16"/>
      <c r="E351" s="16"/>
      <c r="F351" s="16"/>
      <c r="G351" s="16"/>
      <c r="H351" s="17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19"/>
    </row>
    <row r="352" spans="1:19" ht="27.95" hidden="1" customHeight="1">
      <c r="A352" s="7" t="str">
        <f t="shared" si="36"/>
        <v/>
      </c>
      <c r="B352" s="15"/>
      <c r="C352" s="16"/>
      <c r="D352" s="16"/>
      <c r="E352" s="16"/>
      <c r="F352" s="16"/>
      <c r="G352" s="16"/>
      <c r="H352" s="17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19"/>
    </row>
    <row r="353" spans="1:19" ht="27.95" hidden="1" customHeight="1">
      <c r="A353" s="7" t="str">
        <f t="shared" si="36"/>
        <v/>
      </c>
      <c r="B353" s="15"/>
      <c r="C353" s="16"/>
      <c r="D353" s="16"/>
      <c r="E353" s="16"/>
      <c r="F353" s="16"/>
      <c r="G353" s="16"/>
      <c r="H353" s="17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19"/>
    </row>
    <row r="354" spans="1:19" ht="27.95" hidden="1" customHeight="1">
      <c r="A354" s="7" t="str">
        <f t="shared" si="36"/>
        <v/>
      </c>
      <c r="B354" s="15"/>
      <c r="C354" s="16"/>
      <c r="D354" s="16"/>
      <c r="E354" s="16"/>
      <c r="F354" s="16"/>
      <c r="G354" s="16"/>
      <c r="H354" s="17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19"/>
    </row>
    <row r="355" spans="1:19" ht="27.95" hidden="1" customHeight="1">
      <c r="A355" s="7" t="str">
        <f t="shared" si="36"/>
        <v/>
      </c>
      <c r="B355" s="15"/>
      <c r="C355" s="16"/>
      <c r="D355" s="16"/>
      <c r="E355" s="16"/>
      <c r="F355" s="16"/>
      <c r="G355" s="16"/>
      <c r="H355" s="17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19"/>
    </row>
    <row r="356" spans="1:19" ht="27.95" hidden="1" customHeight="1">
      <c r="A356" s="7" t="str">
        <f t="shared" si="36"/>
        <v/>
      </c>
      <c r="B356" s="15"/>
      <c r="C356" s="16"/>
      <c r="D356" s="16"/>
      <c r="E356" s="16"/>
      <c r="F356" s="16"/>
      <c r="G356" s="16"/>
      <c r="H356" s="17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19"/>
    </row>
    <row r="357" spans="1:19" ht="27.95" hidden="1" customHeight="1">
      <c r="A357" s="7" t="str">
        <f t="shared" si="36"/>
        <v/>
      </c>
      <c r="B357" s="15"/>
      <c r="C357" s="16"/>
      <c r="D357" s="16"/>
      <c r="E357" s="16"/>
      <c r="F357" s="16"/>
      <c r="G357" s="16"/>
      <c r="H357" s="17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19"/>
    </row>
    <row r="358" spans="1:19" ht="27.95" hidden="1" customHeight="1">
      <c r="A358" s="7" t="str">
        <f t="shared" si="36"/>
        <v/>
      </c>
      <c r="B358" s="15"/>
      <c r="C358" s="16"/>
      <c r="D358" s="16"/>
      <c r="E358" s="16"/>
      <c r="F358" s="16"/>
      <c r="G358" s="16"/>
      <c r="H358" s="17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19"/>
    </row>
    <row r="359" spans="1:19" ht="27.95" hidden="1" customHeight="1">
      <c r="A359" s="7" t="str">
        <f t="shared" si="36"/>
        <v/>
      </c>
      <c r="B359" s="15"/>
      <c r="C359" s="16"/>
      <c r="D359" s="16"/>
      <c r="E359" s="16"/>
      <c r="F359" s="16"/>
      <c r="G359" s="16"/>
      <c r="H359" s="17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19"/>
    </row>
    <row r="360" spans="1:19" ht="27.95" hidden="1" customHeight="1">
      <c r="A360" s="7" t="str">
        <f t="shared" si="36"/>
        <v/>
      </c>
      <c r="B360" s="15"/>
      <c r="C360" s="16"/>
      <c r="D360" s="16"/>
      <c r="E360" s="16"/>
      <c r="F360" s="16"/>
      <c r="G360" s="16"/>
      <c r="H360" s="17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19"/>
    </row>
    <row r="361" spans="1:19" ht="27.95" hidden="1" customHeight="1">
      <c r="A361" s="7" t="str">
        <f t="shared" si="36"/>
        <v/>
      </c>
      <c r="B361" s="15"/>
      <c r="C361" s="16"/>
      <c r="D361" s="16"/>
      <c r="E361" s="16"/>
      <c r="F361" s="16"/>
      <c r="G361" s="16"/>
      <c r="H361" s="17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19"/>
    </row>
    <row r="362" spans="1:19" ht="27.95" hidden="1" customHeight="1">
      <c r="A362" s="7" t="str">
        <f t="shared" si="36"/>
        <v/>
      </c>
      <c r="B362" s="15"/>
      <c r="C362" s="16"/>
      <c r="D362" s="16"/>
      <c r="E362" s="16"/>
      <c r="F362" s="16"/>
      <c r="G362" s="16"/>
      <c r="H362" s="17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19"/>
    </row>
    <row r="363" spans="1:19" ht="27.95" hidden="1" customHeight="1">
      <c r="A363" s="7" t="str">
        <f t="shared" si="36"/>
        <v/>
      </c>
      <c r="B363" s="15"/>
      <c r="C363" s="16"/>
      <c r="D363" s="16"/>
      <c r="E363" s="16"/>
      <c r="F363" s="16"/>
      <c r="G363" s="16"/>
      <c r="H363" s="17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19"/>
    </row>
    <row r="364" spans="1:19" ht="27.95" hidden="1" customHeight="1">
      <c r="A364" s="7" t="str">
        <f t="shared" si="36"/>
        <v/>
      </c>
      <c r="B364" s="15"/>
      <c r="C364" s="16"/>
      <c r="D364" s="16"/>
      <c r="E364" s="16"/>
      <c r="F364" s="16"/>
      <c r="G364" s="16"/>
      <c r="H364" s="17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19"/>
    </row>
    <row r="365" spans="1:19" ht="27.95" hidden="1" customHeight="1">
      <c r="A365" s="7" t="str">
        <f t="shared" si="36"/>
        <v/>
      </c>
      <c r="B365" s="15"/>
      <c r="C365" s="16"/>
      <c r="D365" s="16"/>
      <c r="E365" s="16"/>
      <c r="F365" s="16"/>
      <c r="G365" s="16"/>
      <c r="H365" s="17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19"/>
    </row>
    <row r="366" spans="1:19" ht="27.95" hidden="1" customHeight="1">
      <c r="A366" s="7" t="str">
        <f t="shared" si="36"/>
        <v/>
      </c>
      <c r="B366" s="15"/>
      <c r="C366" s="16"/>
      <c r="D366" s="16"/>
      <c r="E366" s="16"/>
      <c r="F366" s="16"/>
      <c r="G366" s="16"/>
      <c r="H366" s="17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19"/>
    </row>
    <row r="367" spans="1:19" ht="27.95" hidden="1" customHeight="1">
      <c r="A367" s="7" t="str">
        <f t="shared" si="36"/>
        <v/>
      </c>
      <c r="B367" s="15"/>
      <c r="C367" s="16"/>
      <c r="D367" s="16"/>
      <c r="E367" s="16"/>
      <c r="F367" s="16"/>
      <c r="G367" s="16"/>
      <c r="H367" s="17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19"/>
    </row>
    <row r="368" spans="1:19" ht="27.95" hidden="1" customHeight="1">
      <c r="A368" s="7" t="str">
        <f t="shared" si="36"/>
        <v/>
      </c>
      <c r="B368" s="15"/>
      <c r="C368" s="16"/>
      <c r="D368" s="16"/>
      <c r="E368" s="16"/>
      <c r="F368" s="16"/>
      <c r="G368" s="16"/>
      <c r="H368" s="17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19"/>
    </row>
    <row r="369" spans="1:19" ht="27.95" hidden="1" customHeight="1">
      <c r="A369" s="7" t="str">
        <f t="shared" si="36"/>
        <v/>
      </c>
      <c r="B369" s="15"/>
      <c r="C369" s="16"/>
      <c r="D369" s="16"/>
      <c r="E369" s="16"/>
      <c r="F369" s="16"/>
      <c r="G369" s="16"/>
      <c r="H369" s="17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19"/>
    </row>
    <row r="370" spans="1:19" ht="27.95" hidden="1" customHeight="1">
      <c r="A370" s="7" t="str">
        <f t="shared" si="36"/>
        <v/>
      </c>
      <c r="B370" s="15"/>
      <c r="C370" s="16"/>
      <c r="D370" s="16"/>
      <c r="E370" s="16"/>
      <c r="F370" s="16"/>
      <c r="G370" s="16"/>
      <c r="H370" s="17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19"/>
    </row>
    <row r="371" spans="1:19" ht="27.95" hidden="1" customHeight="1">
      <c r="A371" s="7" t="str">
        <f t="shared" si="36"/>
        <v/>
      </c>
      <c r="B371" s="15"/>
      <c r="C371" s="16"/>
      <c r="D371" s="16"/>
      <c r="E371" s="16"/>
      <c r="F371" s="16"/>
      <c r="G371" s="16"/>
      <c r="H371" s="17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19"/>
    </row>
    <row r="372" spans="1:19" ht="27.95" hidden="1" customHeight="1">
      <c r="A372" s="7" t="str">
        <f t="shared" si="36"/>
        <v/>
      </c>
      <c r="B372" s="15"/>
      <c r="C372" s="16"/>
      <c r="D372" s="16"/>
      <c r="E372" s="16"/>
      <c r="F372" s="16"/>
      <c r="G372" s="16"/>
      <c r="H372" s="17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19"/>
    </row>
    <row r="373" spans="1:19" ht="27.95" hidden="1" customHeight="1">
      <c r="A373" s="7" t="str">
        <f t="shared" si="36"/>
        <v/>
      </c>
      <c r="B373" s="15"/>
      <c r="C373" s="16"/>
      <c r="D373" s="16"/>
      <c r="E373" s="16"/>
      <c r="F373" s="16"/>
      <c r="G373" s="16"/>
      <c r="H373" s="17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19"/>
    </row>
    <row r="374" spans="1:19" ht="27.95" hidden="1" customHeight="1">
      <c r="A374" s="7" t="str">
        <f t="shared" si="36"/>
        <v/>
      </c>
      <c r="B374" s="15"/>
      <c r="C374" s="16"/>
      <c r="D374" s="16"/>
      <c r="E374" s="16"/>
      <c r="F374" s="16"/>
      <c r="G374" s="16"/>
      <c r="H374" s="17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19"/>
    </row>
    <row r="375" spans="1:19" ht="27.95" hidden="1" customHeight="1">
      <c r="A375" s="7" t="str">
        <f t="shared" si="36"/>
        <v/>
      </c>
      <c r="B375" s="15"/>
      <c r="C375" s="16"/>
      <c r="D375" s="16"/>
      <c r="E375" s="16"/>
      <c r="F375" s="16"/>
      <c r="G375" s="16"/>
      <c r="H375" s="17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19"/>
    </row>
    <row r="376" spans="1:19" ht="27.95" hidden="1" customHeight="1">
      <c r="A376" s="7" t="str">
        <f t="shared" si="36"/>
        <v/>
      </c>
      <c r="B376" s="15"/>
      <c r="C376" s="16"/>
      <c r="D376" s="16"/>
      <c r="E376" s="16"/>
      <c r="F376" s="16"/>
      <c r="G376" s="16"/>
      <c r="H376" s="17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19"/>
    </row>
    <row r="377" spans="1:19" ht="27.95" hidden="1" customHeight="1">
      <c r="A377" s="7" t="str">
        <f t="shared" si="36"/>
        <v/>
      </c>
      <c r="B377" s="15"/>
      <c r="C377" s="16"/>
      <c r="D377" s="16"/>
      <c r="E377" s="16"/>
      <c r="F377" s="16"/>
      <c r="G377" s="16"/>
      <c r="H377" s="17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19"/>
    </row>
    <row r="378" spans="1:19" ht="27.95" hidden="1" customHeight="1">
      <c r="A378" s="7" t="str">
        <f t="shared" si="36"/>
        <v/>
      </c>
      <c r="B378" s="15"/>
      <c r="C378" s="16"/>
      <c r="D378" s="16"/>
      <c r="E378" s="16"/>
      <c r="F378" s="16"/>
      <c r="G378" s="16"/>
      <c r="H378" s="17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19"/>
    </row>
    <row r="379" spans="1:19" ht="27.95" hidden="1" customHeight="1">
      <c r="A379" s="7" t="str">
        <f t="shared" si="36"/>
        <v/>
      </c>
      <c r="B379" s="15"/>
      <c r="C379" s="16"/>
      <c r="D379" s="16"/>
      <c r="E379" s="16"/>
      <c r="F379" s="16"/>
      <c r="G379" s="16"/>
      <c r="H379" s="17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19"/>
    </row>
    <row r="380" spans="1:19" ht="27.95" hidden="1" customHeight="1">
      <c r="A380" s="7" t="str">
        <f t="shared" si="36"/>
        <v/>
      </c>
      <c r="B380" s="15"/>
      <c r="C380" s="16"/>
      <c r="D380" s="16"/>
      <c r="E380" s="16"/>
      <c r="F380" s="16"/>
      <c r="G380" s="16"/>
      <c r="H380" s="17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19"/>
    </row>
    <row r="381" spans="1:19" ht="27.95" hidden="1" customHeight="1">
      <c r="A381" s="7" t="str">
        <f t="shared" si="36"/>
        <v/>
      </c>
      <c r="B381" s="15"/>
      <c r="C381" s="16"/>
      <c r="D381" s="16"/>
      <c r="E381" s="16"/>
      <c r="F381" s="16"/>
      <c r="G381" s="16"/>
      <c r="H381" s="17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19"/>
    </row>
    <row r="382" spans="1:19" ht="27.95" hidden="1" customHeight="1">
      <c r="A382" s="7" t="str">
        <f t="shared" si="36"/>
        <v/>
      </c>
      <c r="B382" s="15"/>
      <c r="C382" s="16"/>
      <c r="D382" s="16"/>
      <c r="E382" s="16"/>
      <c r="F382" s="16"/>
      <c r="G382" s="16"/>
      <c r="H382" s="17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19"/>
    </row>
    <row r="383" spans="1:19" ht="27.95" hidden="1" customHeight="1">
      <c r="A383" s="7" t="str">
        <f t="shared" si="36"/>
        <v/>
      </c>
      <c r="B383" s="15"/>
      <c r="C383" s="16"/>
      <c r="D383" s="16"/>
      <c r="E383" s="16"/>
      <c r="F383" s="16"/>
      <c r="G383" s="16"/>
      <c r="H383" s="17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19"/>
    </row>
    <row r="384" spans="1:19" ht="27.95" hidden="1" customHeight="1">
      <c r="A384" s="7" t="str">
        <f t="shared" si="36"/>
        <v/>
      </c>
      <c r="B384" s="15"/>
      <c r="C384" s="16"/>
      <c r="D384" s="16"/>
      <c r="E384" s="16"/>
      <c r="F384" s="16"/>
      <c r="G384" s="16"/>
      <c r="H384" s="17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19"/>
    </row>
    <row r="385" spans="1:19" ht="27.95" hidden="1" customHeight="1">
      <c r="A385" s="7" t="str">
        <f t="shared" si="36"/>
        <v/>
      </c>
      <c r="B385" s="15"/>
      <c r="C385" s="16"/>
      <c r="D385" s="16"/>
      <c r="E385" s="16"/>
      <c r="F385" s="16"/>
      <c r="G385" s="16"/>
      <c r="H385" s="17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19"/>
    </row>
    <row r="386" spans="1:19" ht="27.95" hidden="1" customHeight="1">
      <c r="A386" s="7" t="str">
        <f t="shared" si="36"/>
        <v/>
      </c>
      <c r="B386" s="15"/>
      <c r="C386" s="16"/>
      <c r="D386" s="16"/>
      <c r="E386" s="16"/>
      <c r="F386" s="16"/>
      <c r="G386" s="16"/>
      <c r="H386" s="17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19"/>
    </row>
    <row r="387" spans="1:19" ht="27.95" hidden="1" customHeight="1">
      <c r="A387" s="7" t="str">
        <f t="shared" si="36"/>
        <v/>
      </c>
      <c r="B387" s="15"/>
      <c r="C387" s="16"/>
      <c r="D387" s="16"/>
      <c r="E387" s="16"/>
      <c r="F387" s="16"/>
      <c r="G387" s="16"/>
      <c r="H387" s="17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19"/>
    </row>
    <row r="388" spans="1:19" ht="27.95" hidden="1" customHeight="1">
      <c r="A388" s="7" t="str">
        <f t="shared" si="36"/>
        <v/>
      </c>
      <c r="B388" s="15"/>
      <c r="C388" s="16"/>
      <c r="D388" s="16"/>
      <c r="E388" s="16"/>
      <c r="F388" s="16"/>
      <c r="G388" s="16"/>
      <c r="H388" s="17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19"/>
    </row>
    <row r="389" spans="1:19" ht="27.95" hidden="1" customHeight="1">
      <c r="A389" s="7" t="str">
        <f t="shared" si="36"/>
        <v/>
      </c>
      <c r="B389" s="15"/>
      <c r="C389" s="16"/>
      <c r="D389" s="16"/>
      <c r="E389" s="16"/>
      <c r="F389" s="16"/>
      <c r="G389" s="16"/>
      <c r="H389" s="17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19"/>
    </row>
    <row r="390" spans="1:19" ht="27.95" hidden="1" customHeight="1">
      <c r="A390" s="7" t="str">
        <f t="shared" si="36"/>
        <v/>
      </c>
      <c r="B390" s="15"/>
      <c r="C390" s="16"/>
      <c r="D390" s="16"/>
      <c r="E390" s="16"/>
      <c r="F390" s="16"/>
      <c r="G390" s="16"/>
      <c r="H390" s="17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19"/>
    </row>
    <row r="391" spans="1:19" ht="27.95" hidden="1" customHeight="1">
      <c r="A391" s="7" t="str">
        <f t="shared" si="36"/>
        <v/>
      </c>
      <c r="B391" s="15"/>
      <c r="C391" s="16"/>
      <c r="D391" s="16"/>
      <c r="E391" s="16"/>
      <c r="F391" s="16"/>
      <c r="G391" s="16"/>
      <c r="H391" s="17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19"/>
    </row>
    <row r="392" spans="1:19" ht="27.95" hidden="1" customHeight="1">
      <c r="A392" s="7" t="str">
        <f t="shared" si="36"/>
        <v/>
      </c>
      <c r="B392" s="15"/>
      <c r="C392" s="16"/>
      <c r="D392" s="16"/>
      <c r="E392" s="16"/>
      <c r="F392" s="16"/>
      <c r="G392" s="16"/>
      <c r="H392" s="17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19"/>
    </row>
    <row r="393" spans="1:19" ht="27.95" hidden="1" customHeight="1">
      <c r="A393" s="7" t="str">
        <f t="shared" si="36"/>
        <v/>
      </c>
      <c r="B393" s="15"/>
      <c r="C393" s="16"/>
      <c r="D393" s="16"/>
      <c r="E393" s="16"/>
      <c r="F393" s="16"/>
      <c r="G393" s="16"/>
      <c r="H393" s="17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19"/>
    </row>
    <row r="394" spans="1:19" ht="27.95" hidden="1" customHeight="1">
      <c r="A394" s="7" t="str">
        <f t="shared" si="36"/>
        <v/>
      </c>
      <c r="B394" s="15"/>
      <c r="C394" s="16"/>
      <c r="D394" s="16"/>
      <c r="E394" s="16"/>
      <c r="F394" s="16"/>
      <c r="G394" s="16"/>
      <c r="H394" s="17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19"/>
    </row>
    <row r="395" spans="1:19" ht="27.95" hidden="1" customHeight="1">
      <c r="A395" s="7" t="str">
        <f t="shared" si="36"/>
        <v/>
      </c>
      <c r="B395" s="15"/>
      <c r="C395" s="16"/>
      <c r="D395" s="16"/>
      <c r="E395" s="16"/>
      <c r="F395" s="16"/>
      <c r="G395" s="16"/>
      <c r="H395" s="17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19"/>
    </row>
    <row r="396" spans="1:19" ht="27.95" hidden="1" customHeight="1">
      <c r="A396" s="7" t="str">
        <f t="shared" si="36"/>
        <v/>
      </c>
      <c r="B396" s="15"/>
      <c r="C396" s="16"/>
      <c r="D396" s="16"/>
      <c r="E396" s="16"/>
      <c r="F396" s="16"/>
      <c r="G396" s="16"/>
      <c r="H396" s="17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19"/>
    </row>
    <row r="397" spans="1:19" ht="27.95" hidden="1" customHeight="1">
      <c r="A397" s="7" t="str">
        <f t="shared" si="36"/>
        <v/>
      </c>
      <c r="B397" s="15"/>
      <c r="C397" s="16"/>
      <c r="D397" s="16"/>
      <c r="E397" s="16"/>
      <c r="F397" s="16"/>
      <c r="G397" s="16"/>
      <c r="H397" s="17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19"/>
    </row>
    <row r="398" spans="1:19" ht="27.95" hidden="1" customHeight="1">
      <c r="A398" s="7" t="str">
        <f t="shared" si="36"/>
        <v/>
      </c>
      <c r="B398" s="15"/>
      <c r="C398" s="16"/>
      <c r="D398" s="16"/>
      <c r="E398" s="16"/>
      <c r="F398" s="16"/>
      <c r="G398" s="16"/>
      <c r="H398" s="17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19"/>
    </row>
    <row r="399" spans="1:19" ht="27.95" hidden="1" customHeight="1">
      <c r="A399" s="7" t="str">
        <f t="shared" si="36"/>
        <v/>
      </c>
      <c r="B399" s="15"/>
      <c r="C399" s="16"/>
      <c r="D399" s="16"/>
      <c r="E399" s="16"/>
      <c r="F399" s="16"/>
      <c r="G399" s="16"/>
      <c r="H399" s="17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19"/>
    </row>
    <row r="400" spans="1:19" ht="27.95" hidden="1" customHeight="1">
      <c r="A400" s="7" t="str">
        <f t="shared" si="36"/>
        <v/>
      </c>
      <c r="B400" s="15"/>
      <c r="C400" s="16"/>
      <c r="D400" s="16"/>
      <c r="E400" s="16"/>
      <c r="F400" s="16"/>
      <c r="G400" s="16"/>
      <c r="H400" s="17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19"/>
    </row>
    <row r="401" spans="1:19" ht="27.95" hidden="1" customHeight="1">
      <c r="A401" s="7" t="str">
        <f t="shared" si="36"/>
        <v/>
      </c>
      <c r="B401" s="15"/>
      <c r="C401" s="16"/>
      <c r="D401" s="16"/>
      <c r="E401" s="16"/>
      <c r="F401" s="16"/>
      <c r="G401" s="16"/>
      <c r="H401" s="17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19"/>
    </row>
    <row r="402" spans="1:19" ht="27.95" hidden="1" customHeight="1">
      <c r="A402" s="7" t="str">
        <f t="shared" si="36"/>
        <v/>
      </c>
      <c r="B402" s="15"/>
      <c r="C402" s="16"/>
      <c r="D402" s="16"/>
      <c r="E402" s="16"/>
      <c r="F402" s="16"/>
      <c r="G402" s="16"/>
      <c r="H402" s="17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19"/>
    </row>
    <row r="403" spans="1:19" ht="27.95" hidden="1" customHeight="1">
      <c r="A403" s="7" t="str">
        <f t="shared" si="36"/>
        <v/>
      </c>
      <c r="B403" s="15"/>
      <c r="C403" s="16"/>
      <c r="D403" s="16"/>
      <c r="E403" s="16"/>
      <c r="F403" s="16"/>
      <c r="G403" s="16"/>
      <c r="H403" s="17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19"/>
    </row>
    <row r="404" spans="1:19" ht="27.95" hidden="1" customHeight="1">
      <c r="A404" s="7" t="str">
        <f t="shared" si="36"/>
        <v/>
      </c>
      <c r="B404" s="15"/>
      <c r="C404" s="16"/>
      <c r="D404" s="16"/>
      <c r="E404" s="16"/>
      <c r="F404" s="16"/>
      <c r="G404" s="16"/>
      <c r="H404" s="17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19"/>
    </row>
    <row r="405" spans="1:19" ht="27.95" hidden="1" customHeight="1">
      <c r="A405" s="7" t="str">
        <f t="shared" si="36"/>
        <v/>
      </c>
      <c r="B405" s="15"/>
      <c r="C405" s="16"/>
      <c r="D405" s="16"/>
      <c r="E405" s="16"/>
      <c r="F405" s="16"/>
      <c r="G405" s="16"/>
      <c r="H405" s="17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19"/>
    </row>
    <row r="406" spans="1:19" ht="27.95" hidden="1" customHeight="1">
      <c r="A406" s="7" t="str">
        <f t="shared" si="36"/>
        <v/>
      </c>
      <c r="B406" s="15"/>
      <c r="C406" s="16"/>
      <c r="D406" s="16"/>
      <c r="E406" s="16"/>
      <c r="F406" s="16"/>
      <c r="G406" s="16"/>
      <c r="H406" s="17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19"/>
    </row>
    <row r="407" spans="1:19" ht="27.95" hidden="1" customHeight="1">
      <c r="A407" s="7" t="str">
        <f t="shared" si="36"/>
        <v/>
      </c>
      <c r="B407" s="15"/>
      <c r="C407" s="16"/>
      <c r="D407" s="16"/>
      <c r="E407" s="16"/>
      <c r="F407" s="16"/>
      <c r="G407" s="16"/>
      <c r="H407" s="17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19"/>
    </row>
    <row r="408" spans="1:19" ht="27.95" hidden="1" customHeight="1">
      <c r="A408" s="7" t="str">
        <f t="shared" si="36"/>
        <v/>
      </c>
      <c r="B408" s="15"/>
      <c r="C408" s="16"/>
      <c r="D408" s="16"/>
      <c r="E408" s="16"/>
      <c r="F408" s="16"/>
      <c r="G408" s="16"/>
      <c r="H408" s="17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19"/>
    </row>
    <row r="409" spans="1:19" ht="27.95" hidden="1" customHeight="1">
      <c r="A409" s="7" t="str">
        <f t="shared" ref="A409:A472" si="37">IF(B409="","","PRINT")</f>
        <v/>
      </c>
      <c r="B409" s="15"/>
      <c r="C409" s="16"/>
      <c r="D409" s="16"/>
      <c r="E409" s="16"/>
      <c r="F409" s="16"/>
      <c r="G409" s="16"/>
      <c r="H409" s="17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19"/>
    </row>
    <row r="410" spans="1:19" ht="27.95" hidden="1" customHeight="1">
      <c r="A410" s="7" t="str">
        <f t="shared" si="37"/>
        <v/>
      </c>
      <c r="B410" s="15"/>
      <c r="C410" s="16"/>
      <c r="D410" s="16"/>
      <c r="E410" s="16"/>
      <c r="F410" s="16"/>
      <c r="G410" s="16"/>
      <c r="H410" s="17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19"/>
    </row>
    <row r="411" spans="1:19" ht="27.95" hidden="1" customHeight="1">
      <c r="A411" s="7" t="str">
        <f t="shared" si="37"/>
        <v/>
      </c>
      <c r="B411" s="15"/>
      <c r="C411" s="16"/>
      <c r="D411" s="16"/>
      <c r="E411" s="16"/>
      <c r="F411" s="16"/>
      <c r="G411" s="16"/>
      <c r="H411" s="17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19"/>
    </row>
    <row r="412" spans="1:19" ht="27.95" hidden="1" customHeight="1">
      <c r="A412" s="7" t="str">
        <f t="shared" si="37"/>
        <v/>
      </c>
      <c r="B412" s="15"/>
      <c r="C412" s="16"/>
      <c r="D412" s="16"/>
      <c r="E412" s="16"/>
      <c r="F412" s="16"/>
      <c r="G412" s="16"/>
      <c r="H412" s="17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19"/>
    </row>
    <row r="413" spans="1:19" ht="27.95" hidden="1" customHeight="1">
      <c r="A413" s="7" t="str">
        <f t="shared" si="37"/>
        <v/>
      </c>
      <c r="B413" s="15"/>
      <c r="C413" s="16"/>
      <c r="D413" s="16"/>
      <c r="E413" s="16"/>
      <c r="F413" s="16"/>
      <c r="G413" s="16"/>
      <c r="H413" s="17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19"/>
    </row>
    <row r="414" spans="1:19" ht="27.95" hidden="1" customHeight="1">
      <c r="A414" s="7" t="str">
        <f t="shared" si="37"/>
        <v/>
      </c>
      <c r="B414" s="15"/>
      <c r="C414" s="16"/>
      <c r="D414" s="16"/>
      <c r="E414" s="16"/>
      <c r="F414" s="16"/>
      <c r="G414" s="16"/>
      <c r="H414" s="17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19"/>
    </row>
    <row r="415" spans="1:19" ht="27.95" hidden="1" customHeight="1">
      <c r="A415" s="7" t="str">
        <f t="shared" si="37"/>
        <v/>
      </c>
      <c r="B415" s="15"/>
      <c r="C415" s="16"/>
      <c r="D415" s="16"/>
      <c r="E415" s="16"/>
      <c r="F415" s="16"/>
      <c r="G415" s="16"/>
      <c r="H415" s="17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19"/>
    </row>
    <row r="416" spans="1:19" ht="27.95" hidden="1" customHeight="1">
      <c r="A416" s="7" t="str">
        <f t="shared" si="37"/>
        <v/>
      </c>
      <c r="B416" s="15"/>
      <c r="C416" s="16"/>
      <c r="D416" s="16"/>
      <c r="E416" s="16"/>
      <c r="F416" s="16"/>
      <c r="G416" s="16"/>
      <c r="H416" s="17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19"/>
    </row>
    <row r="417" spans="1:19" ht="27.95" hidden="1" customHeight="1">
      <c r="A417" s="7" t="str">
        <f t="shared" si="37"/>
        <v/>
      </c>
      <c r="B417" s="15"/>
      <c r="C417" s="16"/>
      <c r="D417" s="16"/>
      <c r="E417" s="16"/>
      <c r="F417" s="16"/>
      <c r="G417" s="16"/>
      <c r="H417" s="17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19"/>
    </row>
    <row r="418" spans="1:19" ht="27.95" hidden="1" customHeight="1">
      <c r="A418" s="7" t="str">
        <f t="shared" si="37"/>
        <v/>
      </c>
      <c r="B418" s="15"/>
      <c r="C418" s="16"/>
      <c r="D418" s="16"/>
      <c r="E418" s="16"/>
      <c r="F418" s="16"/>
      <c r="G418" s="16"/>
      <c r="H418" s="17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19"/>
    </row>
    <row r="419" spans="1:19" ht="27.95" hidden="1" customHeight="1">
      <c r="A419" s="7" t="str">
        <f t="shared" si="37"/>
        <v/>
      </c>
      <c r="B419" s="15"/>
      <c r="C419" s="16"/>
      <c r="D419" s="16"/>
      <c r="E419" s="16"/>
      <c r="F419" s="16"/>
      <c r="G419" s="16"/>
      <c r="H419" s="17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19"/>
    </row>
    <row r="420" spans="1:19" ht="27.95" hidden="1" customHeight="1">
      <c r="A420" s="7" t="str">
        <f t="shared" si="37"/>
        <v/>
      </c>
      <c r="B420" s="15"/>
      <c r="C420" s="16"/>
      <c r="D420" s="16"/>
      <c r="E420" s="16"/>
      <c r="F420" s="16"/>
      <c r="G420" s="16"/>
      <c r="H420" s="17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19"/>
    </row>
    <row r="421" spans="1:19" ht="27.95" hidden="1" customHeight="1">
      <c r="A421" s="7" t="str">
        <f t="shared" si="37"/>
        <v/>
      </c>
      <c r="B421" s="15"/>
      <c r="C421" s="16"/>
      <c r="D421" s="16"/>
      <c r="E421" s="16"/>
      <c r="F421" s="16"/>
      <c r="G421" s="16"/>
      <c r="H421" s="17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19"/>
    </row>
    <row r="422" spans="1:19" ht="27.95" hidden="1" customHeight="1">
      <c r="A422" s="7" t="str">
        <f t="shared" si="37"/>
        <v/>
      </c>
      <c r="B422" s="15"/>
      <c r="C422" s="16"/>
      <c r="D422" s="16"/>
      <c r="E422" s="16"/>
      <c r="F422" s="16"/>
      <c r="G422" s="16"/>
      <c r="H422" s="17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19"/>
    </row>
    <row r="423" spans="1:19" ht="27.95" hidden="1" customHeight="1">
      <c r="A423" s="7" t="str">
        <f t="shared" si="37"/>
        <v/>
      </c>
      <c r="B423" s="15"/>
      <c r="C423" s="16"/>
      <c r="D423" s="16"/>
      <c r="E423" s="16"/>
      <c r="F423" s="16"/>
      <c r="G423" s="16"/>
      <c r="H423" s="17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19"/>
    </row>
    <row r="424" spans="1:19" ht="27.95" hidden="1" customHeight="1">
      <c r="A424" s="7" t="str">
        <f t="shared" si="37"/>
        <v/>
      </c>
      <c r="B424" s="15"/>
      <c r="C424" s="16"/>
      <c r="D424" s="16"/>
      <c r="E424" s="16"/>
      <c r="F424" s="16"/>
      <c r="G424" s="16"/>
      <c r="H424" s="17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19"/>
    </row>
    <row r="425" spans="1:19" ht="27.95" hidden="1" customHeight="1">
      <c r="A425" s="7" t="str">
        <f t="shared" si="37"/>
        <v/>
      </c>
      <c r="B425" s="15"/>
      <c r="C425" s="16"/>
      <c r="D425" s="16"/>
      <c r="E425" s="16"/>
      <c r="F425" s="16"/>
      <c r="G425" s="16"/>
      <c r="H425" s="17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19"/>
    </row>
    <row r="426" spans="1:19" ht="27.95" hidden="1" customHeight="1">
      <c r="A426" s="7" t="str">
        <f t="shared" si="37"/>
        <v/>
      </c>
      <c r="B426" s="15"/>
      <c r="C426" s="16"/>
      <c r="D426" s="16"/>
      <c r="E426" s="16"/>
      <c r="F426" s="16"/>
      <c r="G426" s="16"/>
      <c r="H426" s="17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19"/>
    </row>
    <row r="427" spans="1:19" ht="27.95" hidden="1" customHeight="1">
      <c r="A427" s="7" t="str">
        <f t="shared" si="37"/>
        <v/>
      </c>
      <c r="B427" s="15"/>
      <c r="C427" s="16"/>
      <c r="D427" s="16"/>
      <c r="E427" s="16"/>
      <c r="F427" s="16"/>
      <c r="G427" s="16"/>
      <c r="H427" s="17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19"/>
    </row>
    <row r="428" spans="1:19" ht="27.95" hidden="1" customHeight="1">
      <c r="A428" s="7" t="str">
        <f t="shared" si="37"/>
        <v/>
      </c>
      <c r="B428" s="15"/>
      <c r="C428" s="16"/>
      <c r="D428" s="16"/>
      <c r="E428" s="16"/>
      <c r="F428" s="16"/>
      <c r="G428" s="16"/>
      <c r="H428" s="17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19"/>
    </row>
    <row r="429" spans="1:19" ht="27.95" hidden="1" customHeight="1">
      <c r="A429" s="7" t="str">
        <f t="shared" si="37"/>
        <v/>
      </c>
      <c r="B429" s="15"/>
      <c r="C429" s="16"/>
      <c r="D429" s="16"/>
      <c r="E429" s="16"/>
      <c r="F429" s="16"/>
      <c r="G429" s="16"/>
      <c r="H429" s="17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19"/>
    </row>
    <row r="430" spans="1:19" ht="27.95" hidden="1" customHeight="1">
      <c r="A430" s="7" t="str">
        <f t="shared" si="37"/>
        <v/>
      </c>
      <c r="B430" s="15"/>
      <c r="C430" s="16"/>
      <c r="D430" s="16"/>
      <c r="E430" s="16"/>
      <c r="F430" s="16"/>
      <c r="G430" s="16"/>
      <c r="H430" s="17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19"/>
    </row>
    <row r="431" spans="1:19" ht="27.95" hidden="1" customHeight="1">
      <c r="A431" s="7" t="str">
        <f t="shared" si="37"/>
        <v/>
      </c>
      <c r="B431" s="15"/>
      <c r="C431" s="16"/>
      <c r="D431" s="16"/>
      <c r="E431" s="16"/>
      <c r="F431" s="16"/>
      <c r="G431" s="16"/>
      <c r="H431" s="17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19"/>
    </row>
    <row r="432" spans="1:19" ht="27.95" hidden="1" customHeight="1">
      <c r="A432" s="7" t="str">
        <f t="shared" si="37"/>
        <v/>
      </c>
      <c r="B432" s="15"/>
      <c r="C432" s="16"/>
      <c r="D432" s="16"/>
      <c r="E432" s="16"/>
      <c r="F432" s="16"/>
      <c r="G432" s="16"/>
      <c r="H432" s="17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19"/>
    </row>
    <row r="433" spans="1:19" ht="27.95" hidden="1" customHeight="1">
      <c r="A433" s="7" t="str">
        <f t="shared" si="37"/>
        <v/>
      </c>
      <c r="B433" s="15"/>
      <c r="C433" s="16"/>
      <c r="D433" s="16"/>
      <c r="E433" s="16"/>
      <c r="F433" s="16"/>
      <c r="G433" s="16"/>
      <c r="H433" s="17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19"/>
    </row>
    <row r="434" spans="1:19" ht="27.95" hidden="1" customHeight="1">
      <c r="A434" s="7" t="str">
        <f t="shared" si="37"/>
        <v/>
      </c>
      <c r="B434" s="15"/>
      <c r="C434" s="16"/>
      <c r="D434" s="16"/>
      <c r="E434" s="16"/>
      <c r="F434" s="16"/>
      <c r="G434" s="16"/>
      <c r="H434" s="17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19"/>
    </row>
    <row r="435" spans="1:19" ht="27.95" hidden="1" customHeight="1">
      <c r="A435" s="7" t="str">
        <f t="shared" si="37"/>
        <v/>
      </c>
      <c r="B435" s="15"/>
      <c r="C435" s="16"/>
      <c r="D435" s="16"/>
      <c r="E435" s="16"/>
      <c r="F435" s="16"/>
      <c r="G435" s="16"/>
      <c r="H435" s="17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19"/>
    </row>
    <row r="436" spans="1:19" ht="27.95" hidden="1" customHeight="1">
      <c r="A436" s="7" t="str">
        <f t="shared" si="37"/>
        <v/>
      </c>
      <c r="B436" s="15"/>
      <c r="C436" s="16"/>
      <c r="D436" s="16"/>
      <c r="E436" s="16"/>
      <c r="F436" s="16"/>
      <c r="G436" s="16"/>
      <c r="H436" s="17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19"/>
    </row>
    <row r="437" spans="1:19" ht="27.95" hidden="1" customHeight="1">
      <c r="A437" s="7" t="str">
        <f t="shared" si="37"/>
        <v/>
      </c>
      <c r="B437" s="15"/>
      <c r="C437" s="16"/>
      <c r="D437" s="16"/>
      <c r="E437" s="16"/>
      <c r="F437" s="16"/>
      <c r="G437" s="16"/>
      <c r="H437" s="17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19"/>
    </row>
    <row r="438" spans="1:19" ht="27.95" hidden="1" customHeight="1">
      <c r="A438" s="7" t="str">
        <f t="shared" si="37"/>
        <v/>
      </c>
      <c r="B438" s="15"/>
      <c r="C438" s="16"/>
      <c r="D438" s="16"/>
      <c r="E438" s="16"/>
      <c r="F438" s="16"/>
      <c r="G438" s="16"/>
      <c r="H438" s="17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19"/>
    </row>
    <row r="439" spans="1:19" ht="27.95" hidden="1" customHeight="1">
      <c r="A439" s="7" t="str">
        <f t="shared" si="37"/>
        <v/>
      </c>
      <c r="B439" s="15"/>
      <c r="C439" s="16"/>
      <c r="D439" s="16"/>
      <c r="E439" s="16"/>
      <c r="F439" s="16"/>
      <c r="G439" s="16"/>
      <c r="H439" s="17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19"/>
    </row>
    <row r="440" spans="1:19" ht="27.95" hidden="1" customHeight="1">
      <c r="A440" s="7" t="str">
        <f t="shared" si="37"/>
        <v/>
      </c>
      <c r="B440" s="15"/>
      <c r="C440" s="16"/>
      <c r="D440" s="16"/>
      <c r="E440" s="16"/>
      <c r="F440" s="16"/>
      <c r="G440" s="16"/>
      <c r="H440" s="17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19"/>
    </row>
    <row r="441" spans="1:19" ht="27.95" hidden="1" customHeight="1">
      <c r="A441" s="7" t="str">
        <f t="shared" si="37"/>
        <v/>
      </c>
      <c r="B441" s="15"/>
      <c r="C441" s="16"/>
      <c r="D441" s="16"/>
      <c r="E441" s="16"/>
      <c r="F441" s="16"/>
      <c r="G441" s="16"/>
      <c r="H441" s="17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19"/>
    </row>
    <row r="442" spans="1:19" ht="27.95" hidden="1" customHeight="1">
      <c r="A442" s="7" t="str">
        <f t="shared" si="37"/>
        <v/>
      </c>
      <c r="B442" s="15"/>
      <c r="C442" s="16"/>
      <c r="D442" s="16"/>
      <c r="E442" s="16"/>
      <c r="F442" s="16"/>
      <c r="G442" s="16"/>
      <c r="H442" s="17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19"/>
    </row>
    <row r="443" spans="1:19" ht="27.95" hidden="1" customHeight="1">
      <c r="A443" s="7" t="str">
        <f t="shared" si="37"/>
        <v/>
      </c>
      <c r="B443" s="15"/>
      <c r="C443" s="16"/>
      <c r="D443" s="16"/>
      <c r="E443" s="16"/>
      <c r="F443" s="16"/>
      <c r="G443" s="16"/>
      <c r="H443" s="17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19"/>
    </row>
    <row r="444" spans="1:19" ht="27.95" hidden="1" customHeight="1">
      <c r="A444" s="7" t="str">
        <f t="shared" si="37"/>
        <v/>
      </c>
      <c r="B444" s="15"/>
      <c r="C444" s="16"/>
      <c r="D444" s="16"/>
      <c r="E444" s="16"/>
      <c r="F444" s="16"/>
      <c r="G444" s="16"/>
      <c r="H444" s="17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19"/>
    </row>
    <row r="445" spans="1:19" ht="27.95" hidden="1" customHeight="1">
      <c r="A445" s="7" t="str">
        <f t="shared" si="37"/>
        <v/>
      </c>
      <c r="B445" s="15"/>
      <c r="C445" s="16"/>
      <c r="D445" s="16"/>
      <c r="E445" s="16"/>
      <c r="F445" s="16"/>
      <c r="G445" s="16"/>
      <c r="H445" s="17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19"/>
    </row>
    <row r="446" spans="1:19" ht="27.95" hidden="1" customHeight="1">
      <c r="A446" s="7" t="str">
        <f t="shared" si="37"/>
        <v/>
      </c>
      <c r="B446" s="15"/>
      <c r="C446" s="16"/>
      <c r="D446" s="16"/>
      <c r="E446" s="16"/>
      <c r="F446" s="16"/>
      <c r="G446" s="16"/>
      <c r="H446" s="17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19"/>
    </row>
    <row r="447" spans="1:19" ht="27.95" hidden="1" customHeight="1">
      <c r="A447" s="7" t="str">
        <f t="shared" si="37"/>
        <v/>
      </c>
      <c r="B447" s="15"/>
      <c r="C447" s="16"/>
      <c r="D447" s="16"/>
      <c r="E447" s="16"/>
      <c r="F447" s="16"/>
      <c r="G447" s="16"/>
      <c r="H447" s="17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19"/>
    </row>
    <row r="448" spans="1:19" ht="27.95" hidden="1" customHeight="1">
      <c r="A448" s="7" t="str">
        <f t="shared" si="37"/>
        <v/>
      </c>
      <c r="B448" s="15"/>
      <c r="C448" s="16"/>
      <c r="D448" s="16"/>
      <c r="E448" s="16"/>
      <c r="F448" s="16"/>
      <c r="G448" s="16"/>
      <c r="H448" s="17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19"/>
    </row>
    <row r="449" spans="1:19" ht="27.95" hidden="1" customHeight="1">
      <c r="A449" s="7" t="str">
        <f t="shared" si="37"/>
        <v/>
      </c>
      <c r="B449" s="15"/>
      <c r="C449" s="16"/>
      <c r="D449" s="16"/>
      <c r="E449" s="16"/>
      <c r="F449" s="16"/>
      <c r="G449" s="16"/>
      <c r="H449" s="17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19"/>
    </row>
    <row r="450" spans="1:19" ht="27.95" hidden="1" customHeight="1">
      <c r="A450" s="7" t="str">
        <f t="shared" si="37"/>
        <v/>
      </c>
      <c r="B450" s="15"/>
      <c r="C450" s="16"/>
      <c r="D450" s="16"/>
      <c r="E450" s="16"/>
      <c r="F450" s="16"/>
      <c r="G450" s="16"/>
      <c r="H450" s="17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19"/>
    </row>
    <row r="451" spans="1:19" ht="27.95" hidden="1" customHeight="1">
      <c r="A451" s="7" t="str">
        <f t="shared" si="37"/>
        <v/>
      </c>
      <c r="B451" s="15"/>
      <c r="C451" s="16"/>
      <c r="D451" s="16"/>
      <c r="E451" s="16"/>
      <c r="F451" s="16"/>
      <c r="G451" s="16"/>
      <c r="H451" s="17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19"/>
    </row>
    <row r="452" spans="1:19" ht="27.95" hidden="1" customHeight="1">
      <c r="A452" s="7" t="str">
        <f t="shared" si="37"/>
        <v/>
      </c>
      <c r="B452" s="15"/>
      <c r="C452" s="16"/>
      <c r="D452" s="16"/>
      <c r="E452" s="16"/>
      <c r="F452" s="16"/>
      <c r="G452" s="16"/>
      <c r="H452" s="17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19"/>
    </row>
    <row r="453" spans="1:19" ht="27.95" hidden="1" customHeight="1">
      <c r="A453" s="7" t="str">
        <f t="shared" si="37"/>
        <v/>
      </c>
      <c r="B453" s="15"/>
      <c r="C453" s="16"/>
      <c r="D453" s="16"/>
      <c r="E453" s="16"/>
      <c r="F453" s="16"/>
      <c r="G453" s="16"/>
      <c r="H453" s="17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19"/>
    </row>
    <row r="454" spans="1:19" ht="27.95" hidden="1" customHeight="1">
      <c r="A454" s="7" t="str">
        <f t="shared" si="37"/>
        <v/>
      </c>
      <c r="B454" s="15"/>
      <c r="C454" s="16"/>
      <c r="D454" s="16"/>
      <c r="E454" s="16"/>
      <c r="F454" s="16"/>
      <c r="G454" s="16"/>
      <c r="H454" s="17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19"/>
    </row>
    <row r="455" spans="1:19" ht="27.95" hidden="1" customHeight="1">
      <c r="A455" s="7" t="str">
        <f t="shared" si="37"/>
        <v/>
      </c>
      <c r="B455" s="15"/>
      <c r="C455" s="16"/>
      <c r="D455" s="16"/>
      <c r="E455" s="16"/>
      <c r="F455" s="16"/>
      <c r="G455" s="16"/>
      <c r="H455" s="17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19"/>
    </row>
    <row r="456" spans="1:19" ht="27.95" hidden="1" customHeight="1">
      <c r="A456" s="7" t="str">
        <f t="shared" si="37"/>
        <v/>
      </c>
      <c r="B456" s="15"/>
      <c r="C456" s="16"/>
      <c r="D456" s="16"/>
      <c r="E456" s="16"/>
      <c r="F456" s="16"/>
      <c r="G456" s="16"/>
      <c r="H456" s="17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19"/>
    </row>
    <row r="457" spans="1:19" ht="27.95" hidden="1" customHeight="1">
      <c r="A457" s="7" t="str">
        <f t="shared" si="37"/>
        <v/>
      </c>
      <c r="B457" s="15"/>
      <c r="C457" s="16"/>
      <c r="D457" s="16"/>
      <c r="E457" s="16"/>
      <c r="F457" s="16"/>
      <c r="G457" s="16"/>
      <c r="H457" s="17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19"/>
    </row>
    <row r="458" spans="1:19" ht="27.95" hidden="1" customHeight="1">
      <c r="A458" s="7" t="str">
        <f t="shared" si="37"/>
        <v/>
      </c>
      <c r="B458" s="15"/>
      <c r="C458" s="16"/>
      <c r="D458" s="16"/>
      <c r="E458" s="16"/>
      <c r="F458" s="16"/>
      <c r="G458" s="16"/>
      <c r="H458" s="17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19"/>
    </row>
    <row r="459" spans="1:19" ht="27.95" hidden="1" customHeight="1">
      <c r="A459" s="7" t="str">
        <f t="shared" si="37"/>
        <v/>
      </c>
      <c r="B459" s="15"/>
      <c r="C459" s="16"/>
      <c r="D459" s="16"/>
      <c r="E459" s="16"/>
      <c r="F459" s="16"/>
      <c r="G459" s="16"/>
      <c r="H459" s="17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19"/>
    </row>
    <row r="460" spans="1:19" ht="27.95" hidden="1" customHeight="1">
      <c r="A460" s="7" t="str">
        <f t="shared" si="37"/>
        <v/>
      </c>
      <c r="B460" s="15"/>
      <c r="C460" s="16"/>
      <c r="D460" s="16"/>
      <c r="E460" s="16"/>
      <c r="F460" s="16"/>
      <c r="G460" s="16"/>
      <c r="H460" s="17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19"/>
    </row>
    <row r="461" spans="1:19" ht="27.95" hidden="1" customHeight="1">
      <c r="A461" s="7" t="str">
        <f t="shared" si="37"/>
        <v/>
      </c>
      <c r="B461" s="15"/>
      <c r="C461" s="16"/>
      <c r="D461" s="16"/>
      <c r="E461" s="16"/>
      <c r="F461" s="16"/>
      <c r="G461" s="16"/>
      <c r="H461" s="17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19"/>
    </row>
    <row r="462" spans="1:19" ht="27.95" hidden="1" customHeight="1">
      <c r="A462" s="7" t="str">
        <f t="shared" si="37"/>
        <v/>
      </c>
      <c r="B462" s="15"/>
      <c r="C462" s="16"/>
      <c r="D462" s="16"/>
      <c r="E462" s="16"/>
      <c r="F462" s="16"/>
      <c r="G462" s="16"/>
      <c r="H462" s="17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19"/>
    </row>
    <row r="463" spans="1:19" ht="27.95" hidden="1" customHeight="1">
      <c r="A463" s="7" t="str">
        <f t="shared" si="37"/>
        <v/>
      </c>
      <c r="B463" s="15"/>
      <c r="C463" s="16"/>
      <c r="D463" s="16"/>
      <c r="E463" s="16"/>
      <c r="F463" s="16"/>
      <c r="G463" s="16"/>
      <c r="H463" s="17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19"/>
    </row>
    <row r="464" spans="1:19" ht="27.95" hidden="1" customHeight="1">
      <c r="A464" s="7" t="str">
        <f t="shared" si="37"/>
        <v/>
      </c>
      <c r="B464" s="15"/>
      <c r="C464" s="16"/>
      <c r="D464" s="16"/>
      <c r="E464" s="16"/>
      <c r="F464" s="16"/>
      <c r="G464" s="16"/>
      <c r="H464" s="17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19"/>
    </row>
    <row r="465" spans="1:19" ht="27.95" hidden="1" customHeight="1">
      <c r="A465" s="7" t="str">
        <f t="shared" si="37"/>
        <v/>
      </c>
      <c r="B465" s="15"/>
      <c r="C465" s="16"/>
      <c r="D465" s="16"/>
      <c r="E465" s="16"/>
      <c r="F465" s="16"/>
      <c r="G465" s="16"/>
      <c r="H465" s="17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19"/>
    </row>
    <row r="466" spans="1:19" ht="27.95" hidden="1" customHeight="1">
      <c r="A466" s="7" t="str">
        <f t="shared" si="37"/>
        <v/>
      </c>
      <c r="B466" s="15"/>
      <c r="C466" s="16"/>
      <c r="D466" s="16"/>
      <c r="E466" s="16"/>
      <c r="F466" s="16"/>
      <c r="G466" s="16"/>
      <c r="H466" s="17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19"/>
    </row>
    <row r="467" spans="1:19" ht="27.95" hidden="1" customHeight="1">
      <c r="A467" s="7" t="str">
        <f t="shared" si="37"/>
        <v/>
      </c>
      <c r="B467" s="15"/>
      <c r="C467" s="16"/>
      <c r="D467" s="16"/>
      <c r="E467" s="16"/>
      <c r="F467" s="16"/>
      <c r="G467" s="16"/>
      <c r="H467" s="17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19"/>
    </row>
    <row r="468" spans="1:19" ht="27.95" hidden="1" customHeight="1">
      <c r="A468" s="7" t="str">
        <f t="shared" si="37"/>
        <v/>
      </c>
      <c r="B468" s="15"/>
      <c r="C468" s="16"/>
      <c r="D468" s="16"/>
      <c r="E468" s="16"/>
      <c r="F468" s="16"/>
      <c r="G468" s="16"/>
      <c r="H468" s="17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19"/>
    </row>
    <row r="469" spans="1:19" ht="27.95" hidden="1" customHeight="1">
      <c r="A469" s="7" t="str">
        <f t="shared" si="37"/>
        <v/>
      </c>
      <c r="B469" s="15"/>
      <c r="C469" s="16"/>
      <c r="D469" s="16"/>
      <c r="E469" s="16"/>
      <c r="F469" s="16"/>
      <c r="G469" s="16"/>
      <c r="H469" s="17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19"/>
    </row>
    <row r="470" spans="1:19" ht="27.95" hidden="1" customHeight="1">
      <c r="A470" s="7" t="str">
        <f t="shared" si="37"/>
        <v/>
      </c>
      <c r="B470" s="15"/>
      <c r="C470" s="16"/>
      <c r="D470" s="16"/>
      <c r="E470" s="16"/>
      <c r="F470" s="16"/>
      <c r="G470" s="16"/>
      <c r="H470" s="17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19"/>
    </row>
    <row r="471" spans="1:19" ht="27.95" hidden="1" customHeight="1">
      <c r="A471" s="7" t="str">
        <f t="shared" si="37"/>
        <v/>
      </c>
      <c r="B471" s="15"/>
      <c r="C471" s="16"/>
      <c r="D471" s="16"/>
      <c r="E471" s="16"/>
      <c r="F471" s="16"/>
      <c r="G471" s="16"/>
      <c r="H471" s="17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19"/>
    </row>
    <row r="472" spans="1:19" ht="27.95" hidden="1" customHeight="1">
      <c r="A472" s="7" t="str">
        <f t="shared" si="37"/>
        <v/>
      </c>
      <c r="B472" s="15"/>
      <c r="C472" s="16"/>
      <c r="D472" s="16"/>
      <c r="E472" s="16"/>
      <c r="F472" s="16"/>
      <c r="G472" s="16"/>
      <c r="H472" s="17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19"/>
    </row>
    <row r="473" spans="1:19" ht="27.95" hidden="1" customHeight="1">
      <c r="A473" s="7" t="str">
        <f t="shared" ref="A473:A536" si="38">IF(B473="","","PRINT")</f>
        <v/>
      </c>
      <c r="B473" s="15"/>
      <c r="C473" s="16"/>
      <c r="D473" s="16"/>
      <c r="E473" s="16"/>
      <c r="F473" s="16"/>
      <c r="G473" s="16"/>
      <c r="H473" s="17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19"/>
    </row>
    <row r="474" spans="1:19" ht="27.95" hidden="1" customHeight="1">
      <c r="A474" s="7" t="str">
        <f t="shared" si="38"/>
        <v/>
      </c>
      <c r="B474" s="15"/>
      <c r="C474" s="16"/>
      <c r="D474" s="16"/>
      <c r="E474" s="16"/>
      <c r="F474" s="16"/>
      <c r="G474" s="16"/>
      <c r="H474" s="17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19"/>
    </row>
    <row r="475" spans="1:19" ht="27.95" hidden="1" customHeight="1">
      <c r="A475" s="7" t="str">
        <f t="shared" si="38"/>
        <v/>
      </c>
      <c r="B475" s="15"/>
      <c r="C475" s="16"/>
      <c r="D475" s="16"/>
      <c r="E475" s="16"/>
      <c r="F475" s="16"/>
      <c r="G475" s="16"/>
      <c r="H475" s="17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19"/>
    </row>
    <row r="476" spans="1:19" ht="27.95" hidden="1" customHeight="1">
      <c r="A476" s="7" t="str">
        <f t="shared" si="38"/>
        <v/>
      </c>
      <c r="B476" s="15"/>
      <c r="C476" s="16"/>
      <c r="D476" s="16"/>
      <c r="E476" s="16"/>
      <c r="F476" s="16"/>
      <c r="G476" s="16"/>
      <c r="H476" s="17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19"/>
    </row>
    <row r="477" spans="1:19" ht="27.95" hidden="1" customHeight="1">
      <c r="A477" s="7" t="str">
        <f t="shared" si="38"/>
        <v/>
      </c>
      <c r="B477" s="15"/>
      <c r="C477" s="16"/>
      <c r="D477" s="16"/>
      <c r="E477" s="16"/>
      <c r="F477" s="16"/>
      <c r="G477" s="16"/>
      <c r="H477" s="17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19"/>
    </row>
    <row r="478" spans="1:19" ht="27.95" hidden="1" customHeight="1">
      <c r="A478" s="7" t="str">
        <f t="shared" si="38"/>
        <v/>
      </c>
      <c r="B478" s="15"/>
      <c r="C478" s="16"/>
      <c r="D478" s="16"/>
      <c r="E478" s="16"/>
      <c r="F478" s="16"/>
      <c r="G478" s="16"/>
      <c r="H478" s="17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19"/>
    </row>
    <row r="479" spans="1:19" ht="27.95" hidden="1" customHeight="1">
      <c r="A479" s="7" t="str">
        <f t="shared" si="38"/>
        <v/>
      </c>
      <c r="B479" s="15"/>
      <c r="C479" s="16"/>
      <c r="D479" s="16"/>
      <c r="E479" s="16"/>
      <c r="F479" s="16"/>
      <c r="G479" s="16"/>
      <c r="H479" s="17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19"/>
    </row>
    <row r="480" spans="1:19" ht="27.95" hidden="1" customHeight="1">
      <c r="A480" s="7" t="str">
        <f t="shared" si="38"/>
        <v/>
      </c>
      <c r="B480" s="15"/>
      <c r="C480" s="16"/>
      <c r="D480" s="16"/>
      <c r="E480" s="16"/>
      <c r="F480" s="16"/>
      <c r="G480" s="16"/>
      <c r="H480" s="17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19"/>
    </row>
    <row r="481" spans="1:19" ht="27.95" hidden="1" customHeight="1">
      <c r="A481" s="7" t="str">
        <f t="shared" si="38"/>
        <v/>
      </c>
      <c r="B481" s="15"/>
      <c r="C481" s="16"/>
      <c r="D481" s="16"/>
      <c r="E481" s="16"/>
      <c r="F481" s="16"/>
      <c r="G481" s="16"/>
      <c r="H481" s="17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19"/>
    </row>
    <row r="482" spans="1:19" ht="27.95" hidden="1" customHeight="1">
      <c r="A482" s="7" t="str">
        <f t="shared" si="38"/>
        <v/>
      </c>
      <c r="B482" s="15"/>
      <c r="C482" s="16"/>
      <c r="D482" s="16"/>
      <c r="E482" s="16"/>
      <c r="F482" s="16"/>
      <c r="G482" s="16"/>
      <c r="H482" s="17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19"/>
    </row>
    <row r="483" spans="1:19" ht="27.95" hidden="1" customHeight="1">
      <c r="A483" s="7" t="str">
        <f t="shared" si="38"/>
        <v/>
      </c>
      <c r="B483" s="15"/>
      <c r="C483" s="16"/>
      <c r="D483" s="16"/>
      <c r="E483" s="16"/>
      <c r="F483" s="16"/>
      <c r="G483" s="16"/>
      <c r="H483" s="17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19"/>
    </row>
    <row r="484" spans="1:19" ht="27.95" hidden="1" customHeight="1">
      <c r="A484" s="7" t="str">
        <f t="shared" si="38"/>
        <v/>
      </c>
      <c r="B484" s="15"/>
      <c r="C484" s="16"/>
      <c r="D484" s="16"/>
      <c r="E484" s="16"/>
      <c r="F484" s="16"/>
      <c r="G484" s="16"/>
      <c r="H484" s="17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19"/>
    </row>
    <row r="485" spans="1:19" ht="27.95" hidden="1" customHeight="1">
      <c r="A485" s="7" t="str">
        <f t="shared" si="38"/>
        <v/>
      </c>
      <c r="B485" s="15"/>
      <c r="C485" s="16"/>
      <c r="D485" s="16"/>
      <c r="E485" s="16"/>
      <c r="F485" s="16"/>
      <c r="G485" s="16"/>
      <c r="H485" s="17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19"/>
    </row>
    <row r="486" spans="1:19" ht="27.95" hidden="1" customHeight="1">
      <c r="A486" s="7" t="str">
        <f t="shared" si="38"/>
        <v/>
      </c>
      <c r="B486" s="15"/>
      <c r="C486" s="16"/>
      <c r="D486" s="16"/>
      <c r="E486" s="16"/>
      <c r="F486" s="16"/>
      <c r="G486" s="16"/>
      <c r="H486" s="17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19"/>
    </row>
    <row r="487" spans="1:19" ht="27.95" hidden="1" customHeight="1">
      <c r="A487" s="7" t="str">
        <f t="shared" si="38"/>
        <v/>
      </c>
      <c r="B487" s="15"/>
      <c r="C487" s="16"/>
      <c r="D487" s="16"/>
      <c r="E487" s="16"/>
      <c r="F487" s="16"/>
      <c r="G487" s="16"/>
      <c r="H487" s="17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19"/>
    </row>
    <row r="488" spans="1:19" ht="27.95" hidden="1" customHeight="1">
      <c r="A488" s="7" t="str">
        <f t="shared" si="38"/>
        <v/>
      </c>
      <c r="B488" s="15"/>
      <c r="C488" s="16"/>
      <c r="D488" s="16"/>
      <c r="E488" s="16"/>
      <c r="F488" s="16"/>
      <c r="G488" s="16"/>
      <c r="H488" s="17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19"/>
    </row>
    <row r="489" spans="1:19" ht="27.95" hidden="1" customHeight="1">
      <c r="A489" s="7" t="str">
        <f t="shared" si="38"/>
        <v/>
      </c>
      <c r="B489" s="15"/>
      <c r="C489" s="16"/>
      <c r="D489" s="16"/>
      <c r="E489" s="16"/>
      <c r="F489" s="16"/>
      <c r="G489" s="16"/>
      <c r="H489" s="17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19"/>
    </row>
    <row r="490" spans="1:19" ht="27.95" hidden="1" customHeight="1">
      <c r="A490" s="7" t="str">
        <f t="shared" si="38"/>
        <v/>
      </c>
      <c r="B490" s="15"/>
      <c r="C490" s="16"/>
      <c r="D490" s="16"/>
      <c r="E490" s="16"/>
      <c r="F490" s="16"/>
      <c r="G490" s="16"/>
      <c r="H490" s="17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19"/>
    </row>
    <row r="491" spans="1:19" ht="27.95" hidden="1" customHeight="1">
      <c r="A491" s="7" t="str">
        <f t="shared" si="38"/>
        <v/>
      </c>
      <c r="B491" s="15"/>
      <c r="C491" s="16"/>
      <c r="D491" s="16"/>
      <c r="E491" s="16"/>
      <c r="F491" s="16"/>
      <c r="G491" s="16"/>
      <c r="H491" s="17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19"/>
    </row>
    <row r="492" spans="1:19" ht="27.95" hidden="1" customHeight="1">
      <c r="A492" s="7" t="str">
        <f t="shared" si="38"/>
        <v/>
      </c>
      <c r="B492" s="15"/>
      <c r="C492" s="16"/>
      <c r="D492" s="16"/>
      <c r="E492" s="16"/>
      <c r="F492" s="16"/>
      <c r="G492" s="16"/>
      <c r="H492" s="17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19"/>
    </row>
    <row r="493" spans="1:19" ht="27.95" hidden="1" customHeight="1">
      <c r="A493" s="7" t="str">
        <f t="shared" si="38"/>
        <v/>
      </c>
      <c r="B493" s="15"/>
      <c r="C493" s="16"/>
      <c r="D493" s="16"/>
      <c r="E493" s="16"/>
      <c r="F493" s="16"/>
      <c r="G493" s="16"/>
      <c r="H493" s="17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19"/>
    </row>
    <row r="494" spans="1:19" ht="27.95" hidden="1" customHeight="1">
      <c r="A494" s="7" t="str">
        <f t="shared" si="38"/>
        <v/>
      </c>
      <c r="B494" s="15"/>
      <c r="C494" s="16"/>
      <c r="D494" s="16"/>
      <c r="E494" s="16"/>
      <c r="F494" s="16"/>
      <c r="G494" s="16"/>
      <c r="H494" s="17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19"/>
    </row>
    <row r="495" spans="1:19" ht="27.95" hidden="1" customHeight="1">
      <c r="A495" s="7" t="str">
        <f t="shared" si="38"/>
        <v/>
      </c>
      <c r="B495" s="15"/>
      <c r="C495" s="16"/>
      <c r="D495" s="16"/>
      <c r="E495" s="16"/>
      <c r="F495" s="16"/>
      <c r="G495" s="16"/>
      <c r="H495" s="17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19"/>
    </row>
    <row r="496" spans="1:19" ht="27.95" hidden="1" customHeight="1">
      <c r="A496" s="7" t="str">
        <f t="shared" si="38"/>
        <v/>
      </c>
      <c r="B496" s="15"/>
      <c r="C496" s="16"/>
      <c r="D496" s="16"/>
      <c r="E496" s="16"/>
      <c r="F496" s="16"/>
      <c r="G496" s="16"/>
      <c r="H496" s="17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19"/>
    </row>
    <row r="497" spans="1:19" ht="27.95" hidden="1" customHeight="1">
      <c r="A497" s="7" t="str">
        <f t="shared" si="38"/>
        <v/>
      </c>
      <c r="B497" s="15"/>
      <c r="C497" s="16"/>
      <c r="D497" s="16"/>
      <c r="E497" s="16"/>
      <c r="F497" s="16"/>
      <c r="G497" s="16"/>
      <c r="H497" s="17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19"/>
    </row>
    <row r="498" spans="1:19" ht="27.95" hidden="1" customHeight="1">
      <c r="A498" s="7" t="str">
        <f t="shared" si="38"/>
        <v/>
      </c>
      <c r="B498" s="15"/>
      <c r="C498" s="16"/>
      <c r="D498" s="16"/>
      <c r="E498" s="16"/>
      <c r="F498" s="16"/>
      <c r="G498" s="16"/>
      <c r="H498" s="17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19"/>
    </row>
    <row r="499" spans="1:19" ht="27.95" hidden="1" customHeight="1">
      <c r="A499" s="7" t="str">
        <f t="shared" si="38"/>
        <v/>
      </c>
      <c r="B499" s="15"/>
      <c r="C499" s="16"/>
      <c r="D499" s="16"/>
      <c r="E499" s="16"/>
      <c r="F499" s="16"/>
      <c r="G499" s="16"/>
      <c r="H499" s="17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19"/>
    </row>
    <row r="500" spans="1:19" ht="27.95" hidden="1" customHeight="1">
      <c r="A500" s="7" t="str">
        <f t="shared" si="38"/>
        <v/>
      </c>
      <c r="B500" s="15"/>
      <c r="C500" s="16"/>
      <c r="D500" s="16"/>
      <c r="E500" s="16"/>
      <c r="F500" s="16"/>
      <c r="G500" s="16"/>
      <c r="H500" s="17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19"/>
    </row>
    <row r="501" spans="1:19" ht="27.95" hidden="1" customHeight="1">
      <c r="A501" s="7" t="str">
        <f t="shared" si="38"/>
        <v/>
      </c>
      <c r="B501" s="15"/>
      <c r="C501" s="16"/>
      <c r="D501" s="16"/>
      <c r="E501" s="16"/>
      <c r="F501" s="16"/>
      <c r="G501" s="16"/>
      <c r="H501" s="17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19"/>
    </row>
    <row r="502" spans="1:19" ht="27.95" hidden="1" customHeight="1">
      <c r="A502" s="7" t="str">
        <f t="shared" si="38"/>
        <v/>
      </c>
      <c r="B502" s="15"/>
      <c r="C502" s="16"/>
      <c r="D502" s="16"/>
      <c r="E502" s="16"/>
      <c r="F502" s="16"/>
      <c r="G502" s="16"/>
      <c r="H502" s="17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19"/>
    </row>
    <row r="503" spans="1:19" ht="27.95" hidden="1" customHeight="1">
      <c r="A503" s="7" t="str">
        <f t="shared" si="38"/>
        <v/>
      </c>
      <c r="B503" s="15"/>
      <c r="C503" s="16"/>
      <c r="D503" s="16"/>
      <c r="E503" s="16"/>
      <c r="F503" s="16"/>
      <c r="G503" s="16"/>
      <c r="H503" s="17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19"/>
    </row>
    <row r="504" spans="1:19" ht="27.95" hidden="1" customHeight="1">
      <c r="A504" s="7" t="str">
        <f t="shared" si="38"/>
        <v/>
      </c>
      <c r="B504" s="15"/>
      <c r="C504" s="16"/>
      <c r="D504" s="16"/>
      <c r="E504" s="16"/>
      <c r="F504" s="16"/>
      <c r="G504" s="16"/>
      <c r="H504" s="17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19"/>
    </row>
    <row r="505" spans="1:19" ht="27.95" hidden="1" customHeight="1">
      <c r="A505" s="7" t="str">
        <f t="shared" si="38"/>
        <v/>
      </c>
      <c r="B505" s="15"/>
      <c r="C505" s="16"/>
      <c r="D505" s="16"/>
      <c r="E505" s="16"/>
      <c r="F505" s="16"/>
      <c r="G505" s="16"/>
      <c r="H505" s="17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19"/>
    </row>
    <row r="506" spans="1:19" ht="27.95" hidden="1" customHeight="1">
      <c r="A506" s="7" t="str">
        <f t="shared" si="38"/>
        <v/>
      </c>
      <c r="B506" s="15"/>
      <c r="C506" s="16"/>
      <c r="D506" s="16"/>
      <c r="E506" s="16"/>
      <c r="F506" s="16"/>
      <c r="G506" s="16"/>
      <c r="H506" s="17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19"/>
    </row>
    <row r="507" spans="1:19" ht="27.95" hidden="1" customHeight="1">
      <c r="A507" s="7" t="str">
        <f t="shared" si="38"/>
        <v/>
      </c>
      <c r="B507" s="15"/>
      <c r="C507" s="16"/>
      <c r="D507" s="16"/>
      <c r="E507" s="16"/>
      <c r="F507" s="16"/>
      <c r="G507" s="16"/>
      <c r="H507" s="17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19"/>
    </row>
    <row r="508" spans="1:19" ht="27.95" hidden="1" customHeight="1">
      <c r="A508" s="7" t="str">
        <f t="shared" si="38"/>
        <v/>
      </c>
      <c r="B508" s="15"/>
      <c r="C508" s="16"/>
      <c r="D508" s="16"/>
      <c r="E508" s="16"/>
      <c r="F508" s="16"/>
      <c r="G508" s="16"/>
      <c r="H508" s="17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19"/>
    </row>
    <row r="509" spans="1:19" ht="27.95" hidden="1" customHeight="1">
      <c r="A509" s="7" t="str">
        <f t="shared" si="38"/>
        <v/>
      </c>
      <c r="B509" s="15"/>
      <c r="C509" s="16"/>
      <c r="D509" s="16"/>
      <c r="E509" s="16"/>
      <c r="F509" s="16"/>
      <c r="G509" s="16"/>
      <c r="H509" s="17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19"/>
    </row>
    <row r="510" spans="1:19" ht="27.95" hidden="1" customHeight="1">
      <c r="A510" s="7" t="str">
        <f t="shared" si="38"/>
        <v/>
      </c>
      <c r="B510" s="15"/>
      <c r="C510" s="16"/>
      <c r="D510" s="16"/>
      <c r="E510" s="16"/>
      <c r="F510" s="16"/>
      <c r="G510" s="16"/>
      <c r="H510" s="17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19"/>
    </row>
    <row r="511" spans="1:19" ht="27.95" hidden="1" customHeight="1">
      <c r="A511" s="7" t="str">
        <f t="shared" si="38"/>
        <v/>
      </c>
      <c r="B511" s="15"/>
      <c r="C511" s="16"/>
      <c r="D511" s="16"/>
      <c r="E511" s="16"/>
      <c r="F511" s="16"/>
      <c r="G511" s="16"/>
      <c r="H511" s="17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19"/>
    </row>
    <row r="512" spans="1:19" ht="27.95" hidden="1" customHeight="1">
      <c r="A512" s="7" t="str">
        <f t="shared" si="38"/>
        <v/>
      </c>
      <c r="B512" s="15"/>
      <c r="C512" s="16"/>
      <c r="D512" s="16"/>
      <c r="E512" s="16"/>
      <c r="F512" s="16"/>
      <c r="G512" s="16"/>
      <c r="H512" s="17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19"/>
    </row>
    <row r="513" spans="1:19" ht="27.95" hidden="1" customHeight="1">
      <c r="A513" s="7" t="str">
        <f t="shared" si="38"/>
        <v/>
      </c>
      <c r="B513" s="15"/>
      <c r="C513" s="16"/>
      <c r="D513" s="16"/>
      <c r="E513" s="16"/>
      <c r="F513" s="16"/>
      <c r="G513" s="16"/>
      <c r="H513" s="17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19"/>
    </row>
    <row r="514" spans="1:19" ht="27.95" hidden="1" customHeight="1">
      <c r="A514" s="7" t="str">
        <f t="shared" si="38"/>
        <v/>
      </c>
      <c r="B514" s="15"/>
      <c r="C514" s="16"/>
      <c r="D514" s="16"/>
      <c r="E514" s="16"/>
      <c r="F514" s="16"/>
      <c r="G514" s="16"/>
      <c r="H514" s="17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19"/>
    </row>
    <row r="515" spans="1:19" ht="27.95" hidden="1" customHeight="1">
      <c r="A515" s="7" t="str">
        <f t="shared" si="38"/>
        <v/>
      </c>
      <c r="B515" s="15"/>
      <c r="C515" s="16"/>
      <c r="D515" s="16"/>
      <c r="E515" s="16"/>
      <c r="F515" s="16"/>
      <c r="G515" s="16"/>
      <c r="H515" s="17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19"/>
    </row>
    <row r="516" spans="1:19" ht="27.95" hidden="1" customHeight="1">
      <c r="A516" s="7" t="str">
        <f t="shared" si="38"/>
        <v/>
      </c>
      <c r="B516" s="15"/>
      <c r="C516" s="16"/>
      <c r="D516" s="16"/>
      <c r="E516" s="16"/>
      <c r="F516" s="16"/>
      <c r="G516" s="16"/>
      <c r="H516" s="17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19"/>
    </row>
    <row r="517" spans="1:19" ht="27.95" hidden="1" customHeight="1">
      <c r="A517" s="7" t="str">
        <f t="shared" si="38"/>
        <v/>
      </c>
      <c r="B517" s="15"/>
      <c r="C517" s="16"/>
      <c r="D517" s="16"/>
      <c r="E517" s="16"/>
      <c r="F517" s="16"/>
      <c r="G517" s="16"/>
      <c r="H517" s="17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19"/>
    </row>
    <row r="518" spans="1:19" ht="27.95" hidden="1" customHeight="1">
      <c r="A518" s="7" t="str">
        <f t="shared" si="38"/>
        <v/>
      </c>
      <c r="B518" s="15"/>
      <c r="C518" s="16"/>
      <c r="D518" s="16"/>
      <c r="E518" s="16"/>
      <c r="F518" s="16"/>
      <c r="G518" s="16"/>
      <c r="H518" s="17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19"/>
    </row>
    <row r="519" spans="1:19" ht="27.95" hidden="1" customHeight="1">
      <c r="A519" s="7" t="str">
        <f t="shared" si="38"/>
        <v/>
      </c>
      <c r="B519" s="15"/>
      <c r="C519" s="16"/>
      <c r="D519" s="16"/>
      <c r="E519" s="16"/>
      <c r="F519" s="16"/>
      <c r="G519" s="16"/>
      <c r="H519" s="17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19"/>
    </row>
    <row r="520" spans="1:19" ht="27.95" hidden="1" customHeight="1">
      <c r="A520" s="7" t="str">
        <f t="shared" si="38"/>
        <v/>
      </c>
      <c r="B520" s="15"/>
      <c r="C520" s="16"/>
      <c r="D520" s="16"/>
      <c r="E520" s="16"/>
      <c r="F520" s="16"/>
      <c r="G520" s="16"/>
      <c r="H520" s="17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19"/>
    </row>
    <row r="521" spans="1:19" ht="27.95" hidden="1" customHeight="1">
      <c r="A521" s="7" t="str">
        <f t="shared" si="38"/>
        <v/>
      </c>
      <c r="B521" s="15"/>
      <c r="C521" s="16"/>
      <c r="D521" s="16"/>
      <c r="E521" s="16"/>
      <c r="F521" s="16"/>
      <c r="G521" s="16"/>
      <c r="H521" s="17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19"/>
    </row>
    <row r="522" spans="1:19" ht="27.95" hidden="1" customHeight="1">
      <c r="A522" s="7" t="str">
        <f t="shared" si="38"/>
        <v/>
      </c>
      <c r="B522" s="15"/>
      <c r="C522" s="16"/>
      <c r="D522" s="16"/>
      <c r="E522" s="16"/>
      <c r="F522" s="16"/>
      <c r="G522" s="16"/>
      <c r="H522" s="17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19"/>
    </row>
    <row r="523" spans="1:19" ht="27.95" hidden="1" customHeight="1">
      <c r="A523" s="7" t="str">
        <f t="shared" si="38"/>
        <v/>
      </c>
      <c r="B523" s="15"/>
      <c r="C523" s="16"/>
      <c r="D523" s="16"/>
      <c r="E523" s="16"/>
      <c r="F523" s="16"/>
      <c r="G523" s="16"/>
      <c r="H523" s="17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19"/>
    </row>
    <row r="524" spans="1:19" ht="27.95" hidden="1" customHeight="1">
      <c r="A524" s="7" t="str">
        <f t="shared" si="38"/>
        <v/>
      </c>
      <c r="B524" s="15"/>
      <c r="C524" s="16"/>
      <c r="D524" s="16"/>
      <c r="E524" s="16"/>
      <c r="F524" s="16"/>
      <c r="G524" s="16"/>
      <c r="H524" s="17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19"/>
    </row>
    <row r="525" spans="1:19" ht="27.95" hidden="1" customHeight="1">
      <c r="A525" s="7" t="str">
        <f t="shared" si="38"/>
        <v/>
      </c>
      <c r="B525" s="15"/>
      <c r="C525" s="16"/>
      <c r="D525" s="16"/>
      <c r="E525" s="16"/>
      <c r="F525" s="16"/>
      <c r="G525" s="16"/>
      <c r="H525" s="17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19"/>
    </row>
    <row r="526" spans="1:19" ht="27.95" hidden="1" customHeight="1">
      <c r="A526" s="7" t="str">
        <f t="shared" si="38"/>
        <v/>
      </c>
      <c r="B526" s="15"/>
      <c r="C526" s="16"/>
      <c r="D526" s="16"/>
      <c r="E526" s="16"/>
      <c r="F526" s="16"/>
      <c r="G526" s="16"/>
      <c r="H526" s="17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19"/>
    </row>
    <row r="527" spans="1:19" ht="27.95" hidden="1" customHeight="1">
      <c r="A527" s="7" t="str">
        <f t="shared" si="38"/>
        <v/>
      </c>
      <c r="B527" s="15"/>
      <c r="C527" s="16"/>
      <c r="D527" s="16"/>
      <c r="E527" s="16"/>
      <c r="F527" s="16"/>
      <c r="G527" s="16"/>
      <c r="H527" s="17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19"/>
    </row>
    <row r="528" spans="1:19" ht="27.95" hidden="1" customHeight="1">
      <c r="A528" s="7" t="str">
        <f t="shared" si="38"/>
        <v/>
      </c>
      <c r="B528" s="15"/>
      <c r="C528" s="16"/>
      <c r="D528" s="16"/>
      <c r="E528" s="16"/>
      <c r="F528" s="16"/>
      <c r="G528" s="16"/>
      <c r="H528" s="17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19"/>
    </row>
    <row r="529" spans="1:19" ht="27.95" hidden="1" customHeight="1">
      <c r="A529" s="7" t="str">
        <f t="shared" si="38"/>
        <v/>
      </c>
      <c r="B529" s="15"/>
      <c r="C529" s="16"/>
      <c r="D529" s="16"/>
      <c r="E529" s="16"/>
      <c r="F529" s="16"/>
      <c r="G529" s="16"/>
      <c r="H529" s="17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19"/>
    </row>
    <row r="530" spans="1:19" ht="27.95" hidden="1" customHeight="1">
      <c r="A530" s="7" t="str">
        <f t="shared" si="38"/>
        <v/>
      </c>
      <c r="B530" s="15"/>
      <c r="C530" s="16"/>
      <c r="D530" s="16"/>
      <c r="E530" s="16"/>
      <c r="F530" s="16"/>
      <c r="G530" s="16"/>
      <c r="H530" s="17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19"/>
    </row>
    <row r="531" spans="1:19" ht="27.95" hidden="1" customHeight="1">
      <c r="A531" s="7" t="str">
        <f t="shared" si="38"/>
        <v/>
      </c>
      <c r="B531" s="15"/>
      <c r="C531" s="16"/>
      <c r="D531" s="16"/>
      <c r="E531" s="16"/>
      <c r="F531" s="16"/>
      <c r="G531" s="16"/>
      <c r="H531" s="17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19"/>
    </row>
    <row r="532" spans="1:19" ht="27.95" hidden="1" customHeight="1">
      <c r="A532" s="7" t="str">
        <f t="shared" si="38"/>
        <v/>
      </c>
      <c r="B532" s="15"/>
      <c r="C532" s="16"/>
      <c r="D532" s="16"/>
      <c r="E532" s="16"/>
      <c r="F532" s="16"/>
      <c r="G532" s="16"/>
      <c r="H532" s="17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19"/>
    </row>
    <row r="533" spans="1:19" ht="27.95" hidden="1" customHeight="1">
      <c r="A533" s="7" t="str">
        <f t="shared" si="38"/>
        <v/>
      </c>
      <c r="B533" s="15"/>
      <c r="C533" s="16"/>
      <c r="D533" s="16"/>
      <c r="E533" s="16"/>
      <c r="F533" s="16"/>
      <c r="G533" s="16"/>
      <c r="H533" s="17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19"/>
    </row>
    <row r="534" spans="1:19" ht="27.95" hidden="1" customHeight="1">
      <c r="A534" s="7" t="str">
        <f t="shared" si="38"/>
        <v/>
      </c>
      <c r="B534" s="15"/>
      <c r="C534" s="16"/>
      <c r="D534" s="16"/>
      <c r="E534" s="16"/>
      <c r="F534" s="16"/>
      <c r="G534" s="16"/>
      <c r="H534" s="17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19"/>
    </row>
    <row r="535" spans="1:19" ht="27.95" hidden="1" customHeight="1">
      <c r="A535" s="7" t="str">
        <f t="shared" si="38"/>
        <v/>
      </c>
      <c r="B535" s="15"/>
      <c r="C535" s="16"/>
      <c r="D535" s="16"/>
      <c r="E535" s="16"/>
      <c r="F535" s="16"/>
      <c r="G535" s="16"/>
      <c r="H535" s="17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19"/>
    </row>
    <row r="536" spans="1:19" ht="27.95" hidden="1" customHeight="1">
      <c r="A536" s="7" t="str">
        <f t="shared" si="38"/>
        <v/>
      </c>
      <c r="B536" s="15"/>
      <c r="C536" s="16"/>
      <c r="D536" s="16"/>
      <c r="E536" s="16"/>
      <c r="F536" s="16"/>
      <c r="G536" s="16"/>
      <c r="H536" s="17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19"/>
    </row>
    <row r="537" spans="1:19" ht="27.95" hidden="1" customHeight="1">
      <c r="A537" s="7" t="str">
        <f t="shared" ref="A537:A600" si="39">IF(B537="","","PRINT")</f>
        <v/>
      </c>
      <c r="B537" s="15"/>
      <c r="C537" s="16"/>
      <c r="D537" s="16"/>
      <c r="E537" s="16"/>
      <c r="F537" s="16"/>
      <c r="G537" s="16"/>
      <c r="H537" s="17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19"/>
    </row>
    <row r="538" spans="1:19" ht="27.95" hidden="1" customHeight="1">
      <c r="A538" s="7" t="str">
        <f t="shared" si="39"/>
        <v/>
      </c>
      <c r="B538" s="15"/>
      <c r="C538" s="16"/>
      <c r="D538" s="16"/>
      <c r="E538" s="16"/>
      <c r="F538" s="16"/>
      <c r="G538" s="16"/>
      <c r="H538" s="17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19"/>
    </row>
    <row r="539" spans="1:19" ht="27.95" hidden="1" customHeight="1">
      <c r="A539" s="7" t="str">
        <f t="shared" si="39"/>
        <v/>
      </c>
      <c r="B539" s="15"/>
      <c r="C539" s="16"/>
      <c r="D539" s="16"/>
      <c r="E539" s="16"/>
      <c r="F539" s="16"/>
      <c r="G539" s="16"/>
      <c r="H539" s="17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19"/>
    </row>
    <row r="540" spans="1:19" ht="27.95" hidden="1" customHeight="1">
      <c r="A540" s="7" t="str">
        <f t="shared" si="39"/>
        <v/>
      </c>
      <c r="B540" s="15"/>
      <c r="C540" s="16"/>
      <c r="D540" s="16"/>
      <c r="E540" s="16"/>
      <c r="F540" s="16"/>
      <c r="G540" s="16"/>
      <c r="H540" s="17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19"/>
    </row>
    <row r="541" spans="1:19" ht="27.95" hidden="1" customHeight="1">
      <c r="A541" s="7" t="str">
        <f t="shared" si="39"/>
        <v/>
      </c>
      <c r="B541" s="15"/>
      <c r="C541" s="16"/>
      <c r="D541" s="16"/>
      <c r="E541" s="16"/>
      <c r="F541" s="16"/>
      <c r="G541" s="16"/>
      <c r="H541" s="17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19"/>
    </row>
    <row r="542" spans="1:19" ht="27.95" hidden="1" customHeight="1">
      <c r="A542" s="7" t="str">
        <f t="shared" si="39"/>
        <v/>
      </c>
      <c r="B542" s="15"/>
      <c r="C542" s="16"/>
      <c r="D542" s="16"/>
      <c r="E542" s="16"/>
      <c r="F542" s="16"/>
      <c r="G542" s="16"/>
      <c r="H542" s="17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19"/>
    </row>
    <row r="543" spans="1:19" ht="27.95" hidden="1" customHeight="1">
      <c r="A543" s="7" t="str">
        <f t="shared" si="39"/>
        <v/>
      </c>
      <c r="B543" s="15"/>
      <c r="C543" s="16"/>
      <c r="D543" s="16"/>
      <c r="E543" s="16"/>
      <c r="F543" s="16"/>
      <c r="G543" s="16"/>
      <c r="H543" s="17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19"/>
    </row>
    <row r="544" spans="1:19" ht="27.95" hidden="1" customHeight="1">
      <c r="A544" s="7" t="str">
        <f t="shared" si="39"/>
        <v/>
      </c>
      <c r="B544" s="15"/>
      <c r="C544" s="16"/>
      <c r="D544" s="16"/>
      <c r="E544" s="16"/>
      <c r="F544" s="16"/>
      <c r="G544" s="16"/>
      <c r="H544" s="17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19"/>
    </row>
    <row r="545" spans="1:19" ht="27.95" hidden="1" customHeight="1">
      <c r="A545" s="7" t="str">
        <f t="shared" si="39"/>
        <v/>
      </c>
      <c r="B545" s="15"/>
      <c r="C545" s="16"/>
      <c r="D545" s="16"/>
      <c r="E545" s="16"/>
      <c r="F545" s="16"/>
      <c r="G545" s="16"/>
      <c r="H545" s="17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19"/>
    </row>
    <row r="546" spans="1:19" ht="27.95" hidden="1" customHeight="1">
      <c r="A546" s="7" t="str">
        <f t="shared" si="39"/>
        <v/>
      </c>
      <c r="B546" s="15"/>
      <c r="C546" s="16"/>
      <c r="D546" s="16"/>
      <c r="E546" s="16"/>
      <c r="F546" s="16"/>
      <c r="G546" s="16"/>
      <c r="H546" s="17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19"/>
    </row>
    <row r="547" spans="1:19" ht="27.95" hidden="1" customHeight="1">
      <c r="A547" s="7" t="str">
        <f t="shared" si="39"/>
        <v/>
      </c>
      <c r="B547" s="15"/>
      <c r="C547" s="16"/>
      <c r="D547" s="16"/>
      <c r="E547" s="16"/>
      <c r="F547" s="16"/>
      <c r="G547" s="16"/>
      <c r="H547" s="17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19"/>
    </row>
    <row r="548" spans="1:19" ht="27.95" hidden="1" customHeight="1">
      <c r="A548" s="7" t="str">
        <f t="shared" si="39"/>
        <v/>
      </c>
      <c r="B548" s="15"/>
      <c r="C548" s="16"/>
      <c r="D548" s="16"/>
      <c r="E548" s="16"/>
      <c r="F548" s="16"/>
      <c r="G548" s="16"/>
      <c r="H548" s="17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19"/>
    </row>
    <row r="549" spans="1:19" ht="27.95" hidden="1" customHeight="1">
      <c r="A549" s="7" t="str">
        <f t="shared" si="39"/>
        <v/>
      </c>
      <c r="B549" s="15"/>
      <c r="C549" s="16"/>
      <c r="D549" s="16"/>
      <c r="E549" s="16"/>
      <c r="F549" s="16"/>
      <c r="G549" s="16"/>
      <c r="H549" s="17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19"/>
    </row>
    <row r="550" spans="1:19" ht="27.95" hidden="1" customHeight="1">
      <c r="A550" s="7" t="str">
        <f t="shared" si="39"/>
        <v/>
      </c>
      <c r="B550" s="15"/>
      <c r="C550" s="16"/>
      <c r="D550" s="16"/>
      <c r="E550" s="16"/>
      <c r="F550" s="16"/>
      <c r="G550" s="16"/>
      <c r="H550" s="17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19"/>
    </row>
    <row r="551" spans="1:19" ht="27.95" hidden="1" customHeight="1">
      <c r="A551" s="7" t="str">
        <f t="shared" si="39"/>
        <v/>
      </c>
      <c r="B551" s="15"/>
      <c r="C551" s="16"/>
      <c r="D551" s="16"/>
      <c r="E551" s="16"/>
      <c r="F551" s="16"/>
      <c r="G551" s="16"/>
      <c r="H551" s="17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19"/>
    </row>
    <row r="552" spans="1:19" ht="27.95" hidden="1" customHeight="1">
      <c r="A552" s="7" t="str">
        <f t="shared" si="39"/>
        <v/>
      </c>
      <c r="B552" s="15"/>
      <c r="C552" s="16"/>
      <c r="D552" s="16"/>
      <c r="E552" s="16"/>
      <c r="F552" s="16"/>
      <c r="G552" s="16"/>
      <c r="H552" s="17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19"/>
    </row>
    <row r="553" spans="1:19" ht="27.95" hidden="1" customHeight="1">
      <c r="A553" s="7" t="str">
        <f t="shared" si="39"/>
        <v/>
      </c>
      <c r="B553" s="15"/>
      <c r="C553" s="16"/>
      <c r="D553" s="16"/>
      <c r="E553" s="16"/>
      <c r="F553" s="16"/>
      <c r="G553" s="16"/>
      <c r="H553" s="17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19"/>
    </row>
    <row r="554" spans="1:19" ht="27.95" hidden="1" customHeight="1">
      <c r="A554" s="7" t="str">
        <f t="shared" si="39"/>
        <v/>
      </c>
      <c r="B554" s="15"/>
      <c r="C554" s="16"/>
      <c r="D554" s="16"/>
      <c r="E554" s="16"/>
      <c r="F554" s="16"/>
      <c r="G554" s="16"/>
      <c r="H554" s="17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19"/>
    </row>
    <row r="555" spans="1:19" ht="27.95" hidden="1" customHeight="1">
      <c r="A555" s="7" t="str">
        <f t="shared" si="39"/>
        <v/>
      </c>
      <c r="B555" s="15"/>
      <c r="C555" s="16"/>
      <c r="D555" s="16"/>
      <c r="E555" s="16"/>
      <c r="F555" s="16"/>
      <c r="G555" s="16"/>
      <c r="H555" s="17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19"/>
    </row>
    <row r="556" spans="1:19" ht="27.95" hidden="1" customHeight="1">
      <c r="A556" s="7" t="str">
        <f t="shared" si="39"/>
        <v/>
      </c>
      <c r="B556" s="15"/>
      <c r="C556" s="16"/>
      <c r="D556" s="16"/>
      <c r="E556" s="16"/>
      <c r="F556" s="16"/>
      <c r="G556" s="16"/>
      <c r="H556" s="17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19"/>
    </row>
    <row r="557" spans="1:19" ht="27.95" hidden="1" customHeight="1">
      <c r="A557" s="7" t="str">
        <f t="shared" si="39"/>
        <v/>
      </c>
      <c r="B557" s="15"/>
      <c r="C557" s="16"/>
      <c r="D557" s="16"/>
      <c r="E557" s="16"/>
      <c r="F557" s="16"/>
      <c r="G557" s="16"/>
      <c r="H557" s="17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19"/>
    </row>
    <row r="558" spans="1:19" ht="27.95" hidden="1" customHeight="1">
      <c r="A558" s="7" t="str">
        <f t="shared" si="39"/>
        <v/>
      </c>
      <c r="B558" s="15"/>
      <c r="C558" s="16"/>
      <c r="D558" s="16"/>
      <c r="E558" s="16"/>
      <c r="F558" s="16"/>
      <c r="G558" s="16"/>
      <c r="H558" s="17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19"/>
    </row>
    <row r="559" spans="1:19" ht="27.95" hidden="1" customHeight="1">
      <c r="A559" s="7" t="str">
        <f t="shared" si="39"/>
        <v/>
      </c>
      <c r="B559" s="15"/>
      <c r="C559" s="16"/>
      <c r="D559" s="16"/>
      <c r="E559" s="16"/>
      <c r="F559" s="16"/>
      <c r="G559" s="16"/>
      <c r="H559" s="17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19"/>
    </row>
    <row r="560" spans="1:19" ht="27.95" hidden="1" customHeight="1">
      <c r="A560" s="7" t="str">
        <f t="shared" si="39"/>
        <v/>
      </c>
      <c r="B560" s="15"/>
      <c r="C560" s="16"/>
      <c r="D560" s="16"/>
      <c r="E560" s="16"/>
      <c r="F560" s="16"/>
      <c r="G560" s="16"/>
      <c r="H560" s="17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19"/>
    </row>
    <row r="561" spans="1:19" ht="27.95" hidden="1" customHeight="1">
      <c r="A561" s="7" t="str">
        <f t="shared" si="39"/>
        <v/>
      </c>
      <c r="B561" s="15"/>
      <c r="C561" s="16"/>
      <c r="D561" s="16"/>
      <c r="E561" s="16"/>
      <c r="F561" s="16"/>
      <c r="G561" s="16"/>
      <c r="H561" s="17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19"/>
    </row>
    <row r="562" spans="1:19" ht="27.95" hidden="1" customHeight="1">
      <c r="A562" s="7" t="str">
        <f t="shared" si="39"/>
        <v/>
      </c>
      <c r="B562" s="15"/>
      <c r="C562" s="16"/>
      <c r="D562" s="16"/>
      <c r="E562" s="16"/>
      <c r="F562" s="16"/>
      <c r="G562" s="16"/>
      <c r="H562" s="17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19"/>
    </row>
    <row r="563" spans="1:19" ht="27.95" hidden="1" customHeight="1">
      <c r="A563" s="7" t="str">
        <f t="shared" si="39"/>
        <v/>
      </c>
      <c r="B563" s="15"/>
      <c r="C563" s="16"/>
      <c r="D563" s="16"/>
      <c r="E563" s="16"/>
      <c r="F563" s="16"/>
      <c r="G563" s="16"/>
      <c r="H563" s="17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19"/>
    </row>
    <row r="564" spans="1:19" ht="27.95" hidden="1" customHeight="1">
      <c r="A564" s="7" t="str">
        <f t="shared" si="39"/>
        <v/>
      </c>
      <c r="B564" s="15"/>
      <c r="C564" s="16"/>
      <c r="D564" s="16"/>
      <c r="E564" s="16"/>
      <c r="F564" s="16"/>
      <c r="G564" s="16"/>
      <c r="H564" s="17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19"/>
    </row>
    <row r="565" spans="1:19" ht="27.95" hidden="1" customHeight="1">
      <c r="A565" s="7" t="str">
        <f t="shared" si="39"/>
        <v/>
      </c>
      <c r="B565" s="15"/>
      <c r="C565" s="16"/>
      <c r="D565" s="16"/>
      <c r="E565" s="16"/>
      <c r="F565" s="16"/>
      <c r="G565" s="16"/>
      <c r="H565" s="17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19"/>
    </row>
    <row r="566" spans="1:19" ht="27.95" hidden="1" customHeight="1">
      <c r="A566" s="7" t="str">
        <f t="shared" si="39"/>
        <v/>
      </c>
      <c r="B566" s="15"/>
      <c r="C566" s="16"/>
      <c r="D566" s="16"/>
      <c r="E566" s="16"/>
      <c r="F566" s="16"/>
      <c r="G566" s="16"/>
      <c r="H566" s="17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19"/>
    </row>
    <row r="567" spans="1:19" ht="27.95" hidden="1" customHeight="1">
      <c r="A567" s="7" t="str">
        <f t="shared" si="39"/>
        <v/>
      </c>
      <c r="B567" s="15"/>
      <c r="C567" s="16"/>
      <c r="D567" s="16"/>
      <c r="E567" s="16"/>
      <c r="F567" s="16"/>
      <c r="G567" s="16"/>
      <c r="H567" s="17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19"/>
    </row>
    <row r="568" spans="1:19" ht="27.95" hidden="1" customHeight="1">
      <c r="A568" s="7" t="str">
        <f t="shared" si="39"/>
        <v/>
      </c>
      <c r="B568" s="15"/>
      <c r="C568" s="16"/>
      <c r="D568" s="16"/>
      <c r="E568" s="16"/>
      <c r="F568" s="16"/>
      <c r="G568" s="16"/>
      <c r="H568" s="17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19"/>
    </row>
    <row r="569" spans="1:19" ht="27.95" hidden="1" customHeight="1">
      <c r="A569" s="7" t="str">
        <f t="shared" si="39"/>
        <v/>
      </c>
      <c r="B569" s="15"/>
      <c r="C569" s="16"/>
      <c r="D569" s="16"/>
      <c r="E569" s="16"/>
      <c r="F569" s="16"/>
      <c r="G569" s="16"/>
      <c r="H569" s="17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19"/>
    </row>
    <row r="570" spans="1:19" ht="27.95" hidden="1" customHeight="1">
      <c r="A570" s="7" t="str">
        <f t="shared" si="39"/>
        <v/>
      </c>
      <c r="B570" s="15"/>
      <c r="C570" s="16"/>
      <c r="D570" s="16"/>
      <c r="E570" s="16"/>
      <c r="F570" s="16"/>
      <c r="G570" s="16"/>
      <c r="H570" s="17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19"/>
    </row>
    <row r="571" spans="1:19" ht="27.95" hidden="1" customHeight="1">
      <c r="A571" s="7" t="str">
        <f t="shared" si="39"/>
        <v/>
      </c>
      <c r="B571" s="15"/>
      <c r="C571" s="16"/>
      <c r="D571" s="16"/>
      <c r="E571" s="16"/>
      <c r="F571" s="16"/>
      <c r="G571" s="16"/>
      <c r="H571" s="17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19"/>
    </row>
    <row r="572" spans="1:19" ht="27.95" hidden="1" customHeight="1">
      <c r="A572" s="7" t="str">
        <f t="shared" si="39"/>
        <v/>
      </c>
      <c r="B572" s="15"/>
      <c r="C572" s="16"/>
      <c r="D572" s="16"/>
      <c r="E572" s="16"/>
      <c r="F572" s="16"/>
      <c r="G572" s="16"/>
      <c r="H572" s="17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19"/>
    </row>
    <row r="573" spans="1:19" ht="27.95" hidden="1" customHeight="1">
      <c r="A573" s="7" t="str">
        <f t="shared" si="39"/>
        <v/>
      </c>
      <c r="B573" s="15"/>
      <c r="C573" s="16"/>
      <c r="D573" s="16"/>
      <c r="E573" s="16"/>
      <c r="F573" s="16"/>
      <c r="G573" s="16"/>
      <c r="H573" s="17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19"/>
    </row>
    <row r="574" spans="1:19" ht="27.95" hidden="1" customHeight="1">
      <c r="A574" s="7" t="str">
        <f t="shared" si="39"/>
        <v/>
      </c>
      <c r="B574" s="15"/>
      <c r="C574" s="16"/>
      <c r="D574" s="16"/>
      <c r="E574" s="16"/>
      <c r="F574" s="16"/>
      <c r="G574" s="16"/>
      <c r="H574" s="17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19"/>
    </row>
    <row r="575" spans="1:19" ht="27.95" hidden="1" customHeight="1">
      <c r="A575" s="7" t="str">
        <f t="shared" si="39"/>
        <v/>
      </c>
      <c r="B575" s="15"/>
      <c r="C575" s="16"/>
      <c r="D575" s="16"/>
      <c r="E575" s="16"/>
      <c r="F575" s="16"/>
      <c r="G575" s="16"/>
      <c r="H575" s="17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19"/>
    </row>
    <row r="576" spans="1:19" ht="27.95" hidden="1" customHeight="1">
      <c r="A576" s="7" t="str">
        <f t="shared" si="39"/>
        <v/>
      </c>
      <c r="B576" s="15"/>
      <c r="C576" s="16"/>
      <c r="D576" s="16"/>
      <c r="E576" s="16"/>
      <c r="F576" s="16"/>
      <c r="G576" s="16"/>
      <c r="H576" s="17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19"/>
    </row>
    <row r="577" spans="1:19" ht="27.95" hidden="1" customHeight="1">
      <c r="A577" s="7" t="str">
        <f t="shared" si="39"/>
        <v/>
      </c>
      <c r="B577" s="15"/>
      <c r="C577" s="16"/>
      <c r="D577" s="16"/>
      <c r="E577" s="16"/>
      <c r="F577" s="16"/>
      <c r="G577" s="16"/>
      <c r="H577" s="17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19"/>
    </row>
    <row r="578" spans="1:19" ht="27.95" hidden="1" customHeight="1">
      <c r="A578" s="7" t="str">
        <f t="shared" si="39"/>
        <v/>
      </c>
      <c r="B578" s="15"/>
      <c r="C578" s="16"/>
      <c r="D578" s="16"/>
      <c r="E578" s="16"/>
      <c r="F578" s="16"/>
      <c r="G578" s="16"/>
      <c r="H578" s="17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19"/>
    </row>
    <row r="579" spans="1:19" ht="27.95" hidden="1" customHeight="1">
      <c r="A579" s="7" t="str">
        <f t="shared" si="39"/>
        <v/>
      </c>
      <c r="B579" s="15"/>
      <c r="C579" s="16"/>
      <c r="D579" s="16"/>
      <c r="E579" s="16"/>
      <c r="F579" s="16"/>
      <c r="G579" s="16"/>
      <c r="H579" s="17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19"/>
    </row>
    <row r="580" spans="1:19" ht="27.95" hidden="1" customHeight="1">
      <c r="A580" s="7" t="str">
        <f t="shared" si="39"/>
        <v/>
      </c>
      <c r="B580" s="15"/>
      <c r="C580" s="16"/>
      <c r="D580" s="16"/>
      <c r="E580" s="16"/>
      <c r="F580" s="16"/>
      <c r="G580" s="16"/>
      <c r="H580" s="17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19"/>
    </row>
    <row r="581" spans="1:19" ht="27.95" hidden="1" customHeight="1">
      <c r="A581" s="7" t="str">
        <f t="shared" si="39"/>
        <v/>
      </c>
      <c r="B581" s="15"/>
      <c r="C581" s="16"/>
      <c r="D581" s="16"/>
      <c r="E581" s="16"/>
      <c r="F581" s="16"/>
      <c r="G581" s="16"/>
      <c r="H581" s="17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19"/>
    </row>
    <row r="582" spans="1:19" ht="27.95" hidden="1" customHeight="1">
      <c r="A582" s="7" t="str">
        <f t="shared" si="39"/>
        <v/>
      </c>
      <c r="B582" s="15"/>
      <c r="C582" s="16"/>
      <c r="D582" s="16"/>
      <c r="E582" s="16"/>
      <c r="F582" s="16"/>
      <c r="G582" s="16"/>
      <c r="H582" s="17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19"/>
    </row>
    <row r="583" spans="1:19" ht="27.95" hidden="1" customHeight="1">
      <c r="A583" s="7" t="str">
        <f t="shared" si="39"/>
        <v/>
      </c>
      <c r="B583" s="15"/>
      <c r="C583" s="16"/>
      <c r="D583" s="16"/>
      <c r="E583" s="16"/>
      <c r="F583" s="16"/>
      <c r="G583" s="16"/>
      <c r="H583" s="17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19"/>
    </row>
    <row r="584" spans="1:19" ht="27.95" hidden="1" customHeight="1">
      <c r="A584" s="7" t="str">
        <f t="shared" si="39"/>
        <v/>
      </c>
      <c r="B584" s="15"/>
      <c r="C584" s="16"/>
      <c r="D584" s="16"/>
      <c r="E584" s="16"/>
      <c r="F584" s="16"/>
      <c r="G584" s="16"/>
      <c r="H584" s="17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19"/>
    </row>
    <row r="585" spans="1:19" ht="27.95" hidden="1" customHeight="1">
      <c r="A585" s="7" t="str">
        <f t="shared" si="39"/>
        <v/>
      </c>
      <c r="B585" s="15"/>
      <c r="C585" s="16"/>
      <c r="D585" s="16"/>
      <c r="E585" s="16"/>
      <c r="F585" s="16"/>
      <c r="G585" s="16"/>
      <c r="H585" s="17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19"/>
    </row>
    <row r="586" spans="1:19" ht="27.95" hidden="1" customHeight="1">
      <c r="A586" s="7" t="str">
        <f t="shared" si="39"/>
        <v/>
      </c>
      <c r="B586" s="15"/>
      <c r="C586" s="16"/>
      <c r="D586" s="16"/>
      <c r="E586" s="16"/>
      <c r="F586" s="16"/>
      <c r="G586" s="16"/>
      <c r="H586" s="17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19"/>
    </row>
    <row r="587" spans="1:19" ht="27.95" hidden="1" customHeight="1">
      <c r="A587" s="7" t="str">
        <f t="shared" si="39"/>
        <v/>
      </c>
      <c r="B587" s="15"/>
      <c r="C587" s="16"/>
      <c r="D587" s="16"/>
      <c r="E587" s="16"/>
      <c r="F587" s="16"/>
      <c r="G587" s="16"/>
      <c r="H587" s="17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19"/>
    </row>
    <row r="588" spans="1:19" ht="27.95" hidden="1" customHeight="1">
      <c r="A588" s="7" t="str">
        <f t="shared" si="39"/>
        <v/>
      </c>
      <c r="B588" s="15"/>
      <c r="C588" s="16"/>
      <c r="D588" s="16"/>
      <c r="E588" s="16"/>
      <c r="F588" s="16"/>
      <c r="G588" s="16"/>
      <c r="H588" s="17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19"/>
    </row>
    <row r="589" spans="1:19" ht="27.95" hidden="1" customHeight="1">
      <c r="A589" s="7" t="str">
        <f t="shared" si="39"/>
        <v/>
      </c>
      <c r="B589" s="15"/>
      <c r="C589" s="16"/>
      <c r="D589" s="16"/>
      <c r="E589" s="16"/>
      <c r="F589" s="16"/>
      <c r="G589" s="16"/>
      <c r="H589" s="17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19"/>
    </row>
    <row r="590" spans="1:19" ht="27.95" hidden="1" customHeight="1">
      <c r="A590" s="7" t="str">
        <f t="shared" si="39"/>
        <v/>
      </c>
      <c r="B590" s="15"/>
      <c r="C590" s="16"/>
      <c r="D590" s="16"/>
      <c r="E590" s="16"/>
      <c r="F590" s="16"/>
      <c r="G590" s="16"/>
      <c r="H590" s="17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19"/>
    </row>
    <row r="591" spans="1:19" ht="27.95" hidden="1" customHeight="1">
      <c r="A591" s="7" t="str">
        <f t="shared" si="39"/>
        <v/>
      </c>
      <c r="B591" s="15"/>
      <c r="C591" s="16"/>
      <c r="D591" s="16"/>
      <c r="E591" s="16"/>
      <c r="F591" s="16"/>
      <c r="G591" s="16"/>
      <c r="H591" s="17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19"/>
    </row>
    <row r="592" spans="1:19" ht="27.95" hidden="1" customHeight="1">
      <c r="A592" s="7" t="str">
        <f t="shared" si="39"/>
        <v/>
      </c>
      <c r="B592" s="15"/>
      <c r="C592" s="16"/>
      <c r="D592" s="16"/>
      <c r="E592" s="16"/>
      <c r="F592" s="16"/>
      <c r="G592" s="16"/>
      <c r="H592" s="17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19"/>
    </row>
    <row r="593" spans="1:19" ht="27.95" hidden="1" customHeight="1">
      <c r="A593" s="7" t="str">
        <f t="shared" si="39"/>
        <v/>
      </c>
      <c r="B593" s="15"/>
      <c r="C593" s="16"/>
      <c r="D593" s="16"/>
      <c r="E593" s="16"/>
      <c r="F593" s="16"/>
      <c r="G593" s="16"/>
      <c r="H593" s="17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19"/>
    </row>
    <row r="594" spans="1:19" ht="27.95" hidden="1" customHeight="1">
      <c r="A594" s="7" t="str">
        <f t="shared" si="39"/>
        <v/>
      </c>
      <c r="B594" s="15"/>
      <c r="C594" s="16"/>
      <c r="D594" s="16"/>
      <c r="E594" s="16"/>
      <c r="F594" s="16"/>
      <c r="G594" s="16"/>
      <c r="H594" s="17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19"/>
    </row>
    <row r="595" spans="1:19" ht="27.95" hidden="1" customHeight="1">
      <c r="A595" s="7" t="str">
        <f t="shared" si="39"/>
        <v/>
      </c>
      <c r="B595" s="15"/>
      <c r="C595" s="16"/>
      <c r="D595" s="16"/>
      <c r="E595" s="16"/>
      <c r="F595" s="16"/>
      <c r="G595" s="16"/>
      <c r="H595" s="17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19"/>
    </row>
    <row r="596" spans="1:19" ht="27.95" hidden="1" customHeight="1">
      <c r="A596" s="7" t="str">
        <f t="shared" si="39"/>
        <v/>
      </c>
      <c r="B596" s="15"/>
      <c r="C596" s="16"/>
      <c r="D596" s="16"/>
      <c r="E596" s="16"/>
      <c r="F596" s="16"/>
      <c r="G596" s="16"/>
      <c r="H596" s="17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19"/>
    </row>
    <row r="597" spans="1:19" ht="27.95" hidden="1" customHeight="1">
      <c r="A597" s="7" t="str">
        <f t="shared" si="39"/>
        <v/>
      </c>
      <c r="B597" s="15"/>
      <c r="C597" s="16"/>
      <c r="D597" s="16"/>
      <c r="E597" s="16"/>
      <c r="F597" s="16"/>
      <c r="G597" s="16"/>
      <c r="H597" s="17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19"/>
    </row>
    <row r="598" spans="1:19" ht="27.95" hidden="1" customHeight="1">
      <c r="A598" s="7" t="str">
        <f t="shared" si="39"/>
        <v/>
      </c>
      <c r="B598" s="15"/>
      <c r="C598" s="16"/>
      <c r="D598" s="16"/>
      <c r="E598" s="16"/>
      <c r="F598" s="16"/>
      <c r="G598" s="16"/>
      <c r="H598" s="17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19"/>
    </row>
    <row r="599" spans="1:19" ht="27.95" hidden="1" customHeight="1">
      <c r="A599" s="7" t="str">
        <f t="shared" si="39"/>
        <v/>
      </c>
      <c r="B599" s="15"/>
      <c r="C599" s="16"/>
      <c r="D599" s="16"/>
      <c r="E599" s="16"/>
      <c r="F599" s="16"/>
      <c r="G599" s="16"/>
      <c r="H599" s="17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19"/>
    </row>
    <row r="600" spans="1:19" ht="27.95" hidden="1" customHeight="1">
      <c r="A600" s="7" t="str">
        <f t="shared" si="39"/>
        <v/>
      </c>
      <c r="B600" s="15"/>
      <c r="C600" s="16"/>
      <c r="D600" s="16"/>
      <c r="E600" s="16"/>
      <c r="F600" s="16"/>
      <c r="G600" s="16"/>
      <c r="H600" s="17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19"/>
    </row>
    <row r="601" spans="1:19" ht="27.95" hidden="1" customHeight="1">
      <c r="A601" s="7" t="str">
        <f t="shared" ref="A601:A671" si="40">IF(B601="","","PRINT")</f>
        <v/>
      </c>
      <c r="B601" s="15"/>
      <c r="C601" s="16"/>
      <c r="D601" s="16"/>
      <c r="E601" s="16"/>
      <c r="F601" s="16"/>
      <c r="G601" s="16"/>
      <c r="H601" s="17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19"/>
    </row>
    <row r="602" spans="1:19" ht="27.95" hidden="1" customHeight="1">
      <c r="A602" s="7" t="str">
        <f t="shared" si="40"/>
        <v/>
      </c>
      <c r="B602" s="15"/>
      <c r="C602" s="16"/>
      <c r="D602" s="16"/>
      <c r="E602" s="16"/>
      <c r="F602" s="16"/>
      <c r="G602" s="16"/>
      <c r="H602" s="17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19"/>
    </row>
    <row r="603" spans="1:19" ht="27.95" hidden="1" customHeight="1">
      <c r="A603" s="7" t="str">
        <f t="shared" si="40"/>
        <v/>
      </c>
      <c r="B603" s="15"/>
      <c r="C603" s="16"/>
      <c r="D603" s="16"/>
      <c r="E603" s="16"/>
      <c r="F603" s="16"/>
      <c r="G603" s="16"/>
      <c r="H603" s="17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19"/>
    </row>
    <row r="604" spans="1:19" ht="27.95" hidden="1" customHeight="1">
      <c r="A604" s="7" t="str">
        <f t="shared" si="40"/>
        <v/>
      </c>
      <c r="B604" s="15"/>
      <c r="C604" s="16"/>
      <c r="D604" s="16"/>
      <c r="E604" s="16"/>
      <c r="F604" s="16"/>
      <c r="G604" s="16"/>
      <c r="H604" s="17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19"/>
    </row>
    <row r="605" spans="1:19" ht="27.95" hidden="1" customHeight="1">
      <c r="A605" s="7" t="str">
        <f t="shared" si="40"/>
        <v/>
      </c>
      <c r="B605" s="15"/>
      <c r="C605" s="16"/>
      <c r="D605" s="16"/>
      <c r="E605" s="16"/>
      <c r="F605" s="16"/>
      <c r="G605" s="16"/>
      <c r="H605" s="17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19"/>
    </row>
    <row r="606" spans="1:19" ht="27.95" hidden="1" customHeight="1">
      <c r="A606" s="7" t="str">
        <f t="shared" si="40"/>
        <v/>
      </c>
      <c r="B606" s="15"/>
      <c r="C606" s="16"/>
      <c r="D606" s="16"/>
      <c r="E606" s="16"/>
      <c r="F606" s="16"/>
      <c r="G606" s="16"/>
      <c r="H606" s="17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19"/>
    </row>
    <row r="607" spans="1:19" ht="27.95" hidden="1" customHeight="1">
      <c r="A607" s="7" t="str">
        <f t="shared" si="40"/>
        <v/>
      </c>
      <c r="B607" s="15"/>
      <c r="C607" s="16"/>
      <c r="D607" s="16"/>
      <c r="E607" s="16"/>
      <c r="F607" s="16"/>
      <c r="G607" s="16"/>
      <c r="H607" s="17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19"/>
    </row>
    <row r="608" spans="1:19" ht="27.95" hidden="1" customHeight="1">
      <c r="A608" s="7" t="str">
        <f t="shared" si="40"/>
        <v/>
      </c>
      <c r="B608" s="15"/>
      <c r="C608" s="16"/>
      <c r="D608" s="16"/>
      <c r="E608" s="16"/>
      <c r="F608" s="16"/>
      <c r="G608" s="16"/>
      <c r="H608" s="17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19"/>
    </row>
    <row r="609" spans="1:19" ht="27.95" hidden="1" customHeight="1">
      <c r="A609" s="7" t="str">
        <f t="shared" si="40"/>
        <v/>
      </c>
      <c r="B609" s="15"/>
      <c r="C609" s="16"/>
      <c r="D609" s="16"/>
      <c r="E609" s="16"/>
      <c r="F609" s="16"/>
      <c r="G609" s="16"/>
      <c r="H609" s="17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19"/>
    </row>
    <row r="610" spans="1:19" ht="27.95" hidden="1" customHeight="1">
      <c r="A610" s="7" t="str">
        <f t="shared" si="40"/>
        <v/>
      </c>
      <c r="B610" s="15"/>
      <c r="C610" s="16"/>
      <c r="D610" s="16"/>
      <c r="E610" s="16"/>
      <c r="F610" s="16"/>
      <c r="G610" s="16"/>
      <c r="H610" s="17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19"/>
    </row>
    <row r="611" spans="1:19" ht="27.95" hidden="1" customHeight="1">
      <c r="A611" s="7" t="str">
        <f t="shared" si="40"/>
        <v/>
      </c>
      <c r="B611" s="15"/>
      <c r="C611" s="16"/>
      <c r="D611" s="16"/>
      <c r="E611" s="16"/>
      <c r="F611" s="16"/>
      <c r="G611" s="16"/>
      <c r="H611" s="17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19"/>
    </row>
    <row r="612" spans="1:19" ht="27.95" hidden="1" customHeight="1">
      <c r="A612" s="7" t="str">
        <f t="shared" si="40"/>
        <v/>
      </c>
      <c r="B612" s="15"/>
      <c r="C612" s="16"/>
      <c r="D612" s="16"/>
      <c r="E612" s="16"/>
      <c r="F612" s="16"/>
      <c r="G612" s="16"/>
      <c r="H612" s="17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19"/>
    </row>
    <row r="613" spans="1:19" ht="27.95" hidden="1" customHeight="1">
      <c r="A613" s="7" t="str">
        <f t="shared" si="40"/>
        <v/>
      </c>
      <c r="B613" s="15"/>
      <c r="C613" s="16"/>
      <c r="D613" s="16"/>
      <c r="E613" s="16"/>
      <c r="F613" s="16"/>
      <c r="G613" s="16"/>
      <c r="H613" s="17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19"/>
    </row>
    <row r="614" spans="1:19" ht="27.95" hidden="1" customHeight="1">
      <c r="A614" s="7" t="str">
        <f t="shared" si="40"/>
        <v/>
      </c>
      <c r="B614" s="15"/>
      <c r="C614" s="16"/>
      <c r="D614" s="16"/>
      <c r="E614" s="16"/>
      <c r="F614" s="16"/>
      <c r="G614" s="16"/>
      <c r="H614" s="17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19"/>
    </row>
    <row r="615" spans="1:19" ht="27.95" hidden="1" customHeight="1">
      <c r="A615" s="7" t="str">
        <f t="shared" si="40"/>
        <v/>
      </c>
      <c r="B615" s="15"/>
      <c r="C615" s="16"/>
      <c r="D615" s="16"/>
      <c r="E615" s="16"/>
      <c r="F615" s="16"/>
      <c r="G615" s="16"/>
      <c r="H615" s="17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19"/>
    </row>
    <row r="616" spans="1:19" ht="27.95" hidden="1" customHeight="1">
      <c r="A616" s="7" t="str">
        <f t="shared" si="40"/>
        <v/>
      </c>
      <c r="B616" s="15"/>
      <c r="C616" s="16"/>
      <c r="D616" s="16"/>
      <c r="E616" s="16"/>
      <c r="F616" s="16"/>
      <c r="G616" s="16"/>
      <c r="H616" s="17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19"/>
    </row>
    <row r="617" spans="1:19" ht="27.95" hidden="1" customHeight="1">
      <c r="A617" s="7" t="str">
        <f t="shared" si="40"/>
        <v/>
      </c>
      <c r="B617" s="15"/>
      <c r="C617" s="16"/>
      <c r="D617" s="16"/>
      <c r="E617" s="16"/>
      <c r="F617" s="16"/>
      <c r="G617" s="16"/>
      <c r="H617" s="17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19"/>
    </row>
    <row r="618" spans="1:19" ht="27.95" hidden="1" customHeight="1">
      <c r="A618" s="7" t="str">
        <f t="shared" si="40"/>
        <v/>
      </c>
      <c r="B618" s="15"/>
      <c r="C618" s="16"/>
      <c r="D618" s="16"/>
      <c r="E618" s="16"/>
      <c r="F618" s="16"/>
      <c r="G618" s="16"/>
      <c r="H618" s="17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19"/>
    </row>
    <row r="619" spans="1:19" ht="27.95" hidden="1" customHeight="1">
      <c r="A619" s="7" t="str">
        <f t="shared" si="40"/>
        <v/>
      </c>
      <c r="B619" s="15"/>
      <c r="C619" s="16"/>
      <c r="D619" s="16"/>
      <c r="E619" s="16"/>
      <c r="F619" s="16"/>
      <c r="G619" s="16"/>
      <c r="H619" s="17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19"/>
    </row>
    <row r="620" spans="1:19" ht="27.95" hidden="1" customHeight="1">
      <c r="A620" s="7" t="str">
        <f t="shared" si="40"/>
        <v/>
      </c>
      <c r="B620" s="15"/>
      <c r="C620" s="16"/>
      <c r="D620" s="16"/>
      <c r="E620" s="16"/>
      <c r="F620" s="16"/>
      <c r="G620" s="16"/>
      <c r="H620" s="17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19"/>
    </row>
    <row r="621" spans="1:19" ht="27.95" hidden="1" customHeight="1">
      <c r="A621" s="7" t="str">
        <f t="shared" si="40"/>
        <v/>
      </c>
      <c r="B621" s="15"/>
      <c r="C621" s="16"/>
      <c r="D621" s="16"/>
      <c r="E621" s="16"/>
      <c r="F621" s="16"/>
      <c r="G621" s="16"/>
      <c r="H621" s="17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19"/>
    </row>
    <row r="622" spans="1:19" ht="27.95" hidden="1" customHeight="1">
      <c r="A622" s="7" t="str">
        <f t="shared" si="40"/>
        <v/>
      </c>
      <c r="B622" s="15"/>
      <c r="C622" s="16"/>
      <c r="D622" s="16"/>
      <c r="E622" s="16"/>
      <c r="F622" s="16"/>
      <c r="G622" s="16"/>
      <c r="H622" s="17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19"/>
    </row>
    <row r="623" spans="1:19" ht="27.95" hidden="1" customHeight="1">
      <c r="A623" s="7" t="str">
        <f t="shared" si="40"/>
        <v/>
      </c>
      <c r="B623" s="15"/>
      <c r="C623" s="16"/>
      <c r="D623" s="16"/>
      <c r="E623" s="16"/>
      <c r="F623" s="16"/>
      <c r="G623" s="16"/>
      <c r="H623" s="17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19"/>
    </row>
    <row r="624" spans="1:19" ht="27.95" hidden="1" customHeight="1">
      <c r="A624" s="7" t="str">
        <f t="shared" si="40"/>
        <v/>
      </c>
      <c r="B624" s="15"/>
      <c r="C624" s="16"/>
      <c r="D624" s="16"/>
      <c r="E624" s="16"/>
      <c r="F624" s="16"/>
      <c r="G624" s="16"/>
      <c r="H624" s="17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19"/>
    </row>
    <row r="625" spans="1:19" ht="27.95" hidden="1" customHeight="1">
      <c r="A625" s="7" t="str">
        <f t="shared" si="40"/>
        <v/>
      </c>
      <c r="B625" s="15"/>
      <c r="C625" s="16"/>
      <c r="D625" s="16"/>
      <c r="E625" s="16"/>
      <c r="F625" s="16"/>
      <c r="G625" s="16"/>
      <c r="H625" s="17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19"/>
    </row>
    <row r="626" spans="1:19" ht="27.95" hidden="1" customHeight="1">
      <c r="A626" s="7" t="str">
        <f t="shared" si="40"/>
        <v/>
      </c>
      <c r="B626" s="15"/>
      <c r="C626" s="16"/>
      <c r="D626" s="16"/>
      <c r="E626" s="16"/>
      <c r="F626" s="16"/>
      <c r="G626" s="16"/>
      <c r="H626" s="17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19"/>
    </row>
    <row r="627" spans="1:19" ht="27.95" hidden="1" customHeight="1">
      <c r="A627" s="7" t="str">
        <f t="shared" si="40"/>
        <v/>
      </c>
      <c r="B627" s="15"/>
      <c r="C627" s="16"/>
      <c r="D627" s="16"/>
      <c r="E627" s="16"/>
      <c r="F627" s="16"/>
      <c r="G627" s="16"/>
      <c r="H627" s="17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19"/>
    </row>
    <row r="628" spans="1:19" ht="27.95" hidden="1" customHeight="1">
      <c r="A628" s="7" t="str">
        <f t="shared" si="40"/>
        <v/>
      </c>
      <c r="B628" s="15"/>
      <c r="C628" s="16"/>
      <c r="D628" s="16"/>
      <c r="E628" s="16"/>
      <c r="F628" s="16"/>
      <c r="G628" s="16"/>
      <c r="H628" s="17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19"/>
    </row>
    <row r="629" spans="1:19" ht="27.95" hidden="1" customHeight="1">
      <c r="A629" s="7" t="str">
        <f t="shared" si="40"/>
        <v/>
      </c>
      <c r="B629" s="15"/>
      <c r="C629" s="16"/>
      <c r="D629" s="16"/>
      <c r="E629" s="16"/>
      <c r="F629" s="16"/>
      <c r="G629" s="16"/>
      <c r="H629" s="17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19"/>
    </row>
    <row r="630" spans="1:19" ht="27.95" hidden="1" customHeight="1">
      <c r="A630" s="7" t="str">
        <f t="shared" si="40"/>
        <v/>
      </c>
      <c r="B630" s="15"/>
      <c r="C630" s="16"/>
      <c r="D630" s="16"/>
      <c r="E630" s="16"/>
      <c r="F630" s="16"/>
      <c r="G630" s="16"/>
      <c r="H630" s="17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19"/>
    </row>
    <row r="631" spans="1:19" ht="27.95" hidden="1" customHeight="1">
      <c r="A631" s="7" t="str">
        <f t="shared" si="40"/>
        <v/>
      </c>
      <c r="B631" s="15"/>
      <c r="C631" s="16"/>
      <c r="D631" s="16"/>
      <c r="E631" s="16"/>
      <c r="F631" s="16"/>
      <c r="G631" s="16"/>
      <c r="H631" s="17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19"/>
    </row>
    <row r="632" spans="1:19" ht="27.95" hidden="1" customHeight="1">
      <c r="A632" s="7" t="str">
        <f t="shared" si="40"/>
        <v/>
      </c>
      <c r="B632" s="15"/>
      <c r="C632" s="16"/>
      <c r="D632" s="16"/>
      <c r="E632" s="16"/>
      <c r="F632" s="16"/>
      <c r="G632" s="16"/>
      <c r="H632" s="17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19"/>
    </row>
    <row r="633" spans="1:19" ht="27.95" hidden="1" customHeight="1">
      <c r="A633" s="7" t="str">
        <f t="shared" si="40"/>
        <v/>
      </c>
      <c r="B633" s="15"/>
      <c r="C633" s="16"/>
      <c r="D633" s="16"/>
      <c r="E633" s="16"/>
      <c r="F633" s="16"/>
      <c r="G633" s="16"/>
      <c r="H633" s="17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19"/>
    </row>
    <row r="634" spans="1:19" ht="27.95" hidden="1" customHeight="1">
      <c r="A634" s="7" t="str">
        <f t="shared" si="40"/>
        <v/>
      </c>
      <c r="B634" s="15"/>
      <c r="C634" s="16"/>
      <c r="D634" s="16"/>
      <c r="E634" s="16"/>
      <c r="F634" s="16"/>
      <c r="G634" s="16"/>
      <c r="H634" s="17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19"/>
    </row>
    <row r="635" spans="1:19" ht="27.95" hidden="1" customHeight="1">
      <c r="A635" s="7" t="str">
        <f t="shared" si="40"/>
        <v/>
      </c>
      <c r="B635" s="15"/>
      <c r="C635" s="16"/>
      <c r="D635" s="16"/>
      <c r="E635" s="16"/>
      <c r="F635" s="16"/>
      <c r="G635" s="16"/>
      <c r="H635" s="17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19"/>
    </row>
    <row r="636" spans="1:19" ht="27.95" hidden="1" customHeight="1">
      <c r="A636" s="7" t="str">
        <f t="shared" si="40"/>
        <v/>
      </c>
      <c r="B636" s="15"/>
      <c r="C636" s="16"/>
      <c r="D636" s="16"/>
      <c r="E636" s="16"/>
      <c r="F636" s="16"/>
      <c r="G636" s="16"/>
      <c r="H636" s="17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19"/>
    </row>
    <row r="637" spans="1:19" ht="27.95" hidden="1" customHeight="1">
      <c r="A637" s="7" t="str">
        <f t="shared" si="40"/>
        <v/>
      </c>
      <c r="B637" s="15"/>
      <c r="C637" s="16"/>
      <c r="D637" s="16"/>
      <c r="E637" s="16"/>
      <c r="F637" s="16"/>
      <c r="G637" s="16"/>
      <c r="H637" s="17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19"/>
    </row>
    <row r="638" spans="1:19" ht="27.95" hidden="1" customHeight="1">
      <c r="A638" s="7" t="str">
        <f t="shared" si="40"/>
        <v/>
      </c>
      <c r="B638" s="15"/>
      <c r="C638" s="16"/>
      <c r="D638" s="16"/>
      <c r="E638" s="16"/>
      <c r="F638" s="16"/>
      <c r="G638" s="16"/>
      <c r="H638" s="17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19"/>
    </row>
    <row r="639" spans="1:19" ht="27.95" hidden="1" customHeight="1">
      <c r="A639" s="7" t="str">
        <f t="shared" si="40"/>
        <v/>
      </c>
      <c r="B639" s="15"/>
      <c r="C639" s="16"/>
      <c r="D639" s="16"/>
      <c r="E639" s="16"/>
      <c r="F639" s="16"/>
      <c r="G639" s="16"/>
      <c r="H639" s="17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19"/>
    </row>
    <row r="640" spans="1:19" ht="27.95" hidden="1" customHeight="1">
      <c r="A640" s="7" t="str">
        <f t="shared" si="40"/>
        <v/>
      </c>
      <c r="B640" s="15"/>
      <c r="C640" s="16"/>
      <c r="D640" s="16"/>
      <c r="E640" s="16"/>
      <c r="F640" s="16"/>
      <c r="G640" s="16"/>
      <c r="H640" s="17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19"/>
    </row>
    <row r="641" spans="1:19" ht="27.95" hidden="1" customHeight="1">
      <c r="A641" s="7" t="str">
        <f t="shared" si="40"/>
        <v/>
      </c>
      <c r="B641" s="15"/>
      <c r="C641" s="16"/>
      <c r="D641" s="16"/>
      <c r="E641" s="16"/>
      <c r="F641" s="16"/>
      <c r="G641" s="16"/>
      <c r="H641" s="17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19"/>
    </row>
    <row r="642" spans="1:19" ht="27.95" hidden="1" customHeight="1">
      <c r="A642" s="7" t="str">
        <f t="shared" si="40"/>
        <v/>
      </c>
      <c r="B642" s="15"/>
      <c r="C642" s="16"/>
      <c r="D642" s="16"/>
      <c r="E642" s="16"/>
      <c r="F642" s="16"/>
      <c r="G642" s="16"/>
      <c r="H642" s="17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19"/>
    </row>
    <row r="643" spans="1:19" ht="27.95" hidden="1" customHeight="1">
      <c r="A643" s="7" t="str">
        <f t="shared" si="40"/>
        <v/>
      </c>
      <c r="B643" s="15"/>
      <c r="C643" s="16"/>
      <c r="D643" s="16"/>
      <c r="E643" s="16"/>
      <c r="F643" s="16"/>
      <c r="G643" s="16"/>
      <c r="H643" s="17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19"/>
    </row>
    <row r="644" spans="1:19" ht="27.95" hidden="1" customHeight="1">
      <c r="A644" s="7" t="str">
        <f t="shared" si="40"/>
        <v/>
      </c>
      <c r="B644" s="15"/>
      <c r="C644" s="16"/>
      <c r="D644" s="16"/>
      <c r="E644" s="16"/>
      <c r="F644" s="16"/>
      <c r="G644" s="16"/>
      <c r="H644" s="17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19"/>
    </row>
    <row r="645" spans="1:19" ht="27.95" hidden="1" customHeight="1">
      <c r="A645" s="7" t="str">
        <f t="shared" si="40"/>
        <v/>
      </c>
      <c r="B645" s="15"/>
      <c r="C645" s="16"/>
      <c r="D645" s="16"/>
      <c r="E645" s="16"/>
      <c r="F645" s="16"/>
      <c r="G645" s="16"/>
      <c r="H645" s="17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19"/>
    </row>
    <row r="646" spans="1:19" ht="27.95" hidden="1" customHeight="1">
      <c r="A646" s="7" t="str">
        <f t="shared" si="40"/>
        <v/>
      </c>
      <c r="B646" s="15"/>
      <c r="C646" s="16"/>
      <c r="D646" s="16"/>
      <c r="E646" s="16"/>
      <c r="F646" s="16"/>
      <c r="G646" s="16"/>
      <c r="H646" s="17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19"/>
    </row>
    <row r="647" spans="1:19" ht="27.95" hidden="1" customHeight="1">
      <c r="A647" s="7" t="str">
        <f t="shared" si="40"/>
        <v/>
      </c>
      <c r="B647" s="15"/>
      <c r="C647" s="16"/>
      <c r="D647" s="16"/>
      <c r="E647" s="16"/>
      <c r="F647" s="16"/>
      <c r="G647" s="16"/>
      <c r="H647" s="17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19"/>
    </row>
    <row r="648" spans="1:19" ht="27.95" hidden="1" customHeight="1">
      <c r="A648" s="7" t="str">
        <f t="shared" si="40"/>
        <v/>
      </c>
      <c r="B648" s="15"/>
      <c r="C648" s="16"/>
      <c r="D648" s="16"/>
      <c r="E648" s="16"/>
      <c r="F648" s="16"/>
      <c r="G648" s="16"/>
      <c r="H648" s="17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19"/>
    </row>
    <row r="649" spans="1:19" ht="27.95" hidden="1" customHeight="1">
      <c r="A649" s="7" t="str">
        <f t="shared" si="40"/>
        <v/>
      </c>
      <c r="B649" s="15"/>
      <c r="C649" s="16"/>
      <c r="D649" s="16"/>
      <c r="E649" s="16"/>
      <c r="F649" s="16"/>
      <c r="G649" s="16"/>
      <c r="H649" s="17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19"/>
    </row>
    <row r="650" spans="1:19" ht="27.95" hidden="1" customHeight="1">
      <c r="A650" s="7" t="str">
        <f t="shared" si="40"/>
        <v/>
      </c>
      <c r="B650" s="15"/>
      <c r="C650" s="16"/>
      <c r="D650" s="16"/>
      <c r="E650" s="16"/>
      <c r="F650" s="16"/>
      <c r="G650" s="16"/>
      <c r="H650" s="17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19"/>
    </row>
    <row r="651" spans="1:19" ht="27.95" hidden="1" customHeight="1">
      <c r="A651" s="7" t="str">
        <f t="shared" si="40"/>
        <v/>
      </c>
      <c r="B651" s="15"/>
      <c r="C651" s="16"/>
      <c r="D651" s="16"/>
      <c r="E651" s="16"/>
      <c r="F651" s="16"/>
      <c r="G651" s="16"/>
      <c r="H651" s="17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19"/>
    </row>
    <row r="652" spans="1:19" ht="27.95" hidden="1" customHeight="1">
      <c r="A652" s="7" t="str">
        <f t="shared" si="40"/>
        <v/>
      </c>
      <c r="B652" s="15"/>
      <c r="C652" s="16"/>
      <c r="D652" s="16"/>
      <c r="E652" s="16"/>
      <c r="F652" s="16"/>
      <c r="G652" s="16"/>
      <c r="H652" s="17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19"/>
    </row>
    <row r="653" spans="1:19" ht="27.95" hidden="1" customHeight="1">
      <c r="A653" s="7" t="str">
        <f t="shared" si="40"/>
        <v/>
      </c>
      <c r="B653" s="15"/>
      <c r="C653" s="16"/>
      <c r="D653" s="16"/>
      <c r="E653" s="16"/>
      <c r="F653" s="16"/>
      <c r="G653" s="16"/>
      <c r="H653" s="17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19"/>
    </row>
    <row r="654" spans="1:19" ht="27.95" hidden="1" customHeight="1">
      <c r="A654" s="7" t="str">
        <f t="shared" si="40"/>
        <v/>
      </c>
      <c r="B654" s="15"/>
      <c r="C654" s="16"/>
      <c r="D654" s="16"/>
      <c r="E654" s="16"/>
      <c r="F654" s="16"/>
      <c r="G654" s="16"/>
      <c r="H654" s="17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19"/>
    </row>
    <row r="655" spans="1:19" ht="27.95" hidden="1" customHeight="1">
      <c r="A655" s="7" t="str">
        <f t="shared" si="40"/>
        <v/>
      </c>
      <c r="B655" s="15"/>
      <c r="C655" s="16"/>
      <c r="D655" s="16"/>
      <c r="E655" s="16"/>
      <c r="F655" s="16"/>
      <c r="G655" s="16"/>
      <c r="H655" s="17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19"/>
    </row>
    <row r="656" spans="1:19" ht="27.95" hidden="1" customHeight="1">
      <c r="A656" s="7" t="str">
        <f t="shared" si="40"/>
        <v/>
      </c>
      <c r="B656" s="15"/>
      <c r="C656" s="16"/>
      <c r="D656" s="16"/>
      <c r="E656" s="16"/>
      <c r="F656" s="16"/>
      <c r="G656" s="16"/>
      <c r="H656" s="17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19"/>
    </row>
    <row r="657" spans="1:19" ht="27.95" hidden="1" customHeight="1">
      <c r="A657" s="7" t="str">
        <f t="shared" si="40"/>
        <v/>
      </c>
      <c r="B657" s="15"/>
      <c r="C657" s="16"/>
      <c r="D657" s="16"/>
      <c r="E657" s="16"/>
      <c r="F657" s="16"/>
      <c r="G657" s="16"/>
      <c r="H657" s="17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19"/>
    </row>
    <row r="658" spans="1:19" ht="27.95" hidden="1" customHeight="1">
      <c r="A658" s="7" t="str">
        <f t="shared" si="40"/>
        <v/>
      </c>
      <c r="B658" s="15"/>
      <c r="C658" s="16"/>
      <c r="D658" s="16"/>
      <c r="E658" s="16"/>
      <c r="F658" s="16"/>
      <c r="G658" s="16"/>
      <c r="H658" s="17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19"/>
    </row>
    <row r="659" spans="1:19" ht="27.95" hidden="1" customHeight="1">
      <c r="A659" s="7" t="str">
        <f t="shared" si="40"/>
        <v/>
      </c>
      <c r="B659" s="15"/>
      <c r="C659" s="16"/>
      <c r="D659" s="16"/>
      <c r="E659" s="16"/>
      <c r="F659" s="16"/>
      <c r="G659" s="16"/>
      <c r="H659" s="17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19"/>
    </row>
    <row r="660" spans="1:19" ht="27.95" hidden="1" customHeight="1">
      <c r="A660" s="7" t="str">
        <f t="shared" si="40"/>
        <v/>
      </c>
      <c r="B660" s="15"/>
      <c r="C660" s="16"/>
      <c r="D660" s="16"/>
      <c r="E660" s="16"/>
      <c r="F660" s="16"/>
      <c r="G660" s="16"/>
      <c r="H660" s="17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19"/>
    </row>
    <row r="661" spans="1:19" ht="27.95" hidden="1" customHeight="1">
      <c r="A661" s="7" t="str">
        <f t="shared" si="40"/>
        <v/>
      </c>
      <c r="B661" s="15"/>
      <c r="C661" s="16"/>
      <c r="D661" s="16"/>
      <c r="E661" s="16"/>
      <c r="F661" s="16"/>
      <c r="G661" s="16"/>
      <c r="H661" s="17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19"/>
    </row>
    <row r="662" spans="1:19" ht="27.95" hidden="1" customHeight="1">
      <c r="A662" s="7" t="str">
        <f t="shared" si="40"/>
        <v/>
      </c>
      <c r="B662" s="15"/>
      <c r="C662" s="16"/>
      <c r="D662" s="16"/>
      <c r="E662" s="16"/>
      <c r="F662" s="16"/>
      <c r="G662" s="16"/>
      <c r="H662" s="17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19"/>
    </row>
    <row r="663" spans="1:19" ht="27.95" hidden="1" customHeight="1">
      <c r="A663" s="7" t="str">
        <f t="shared" si="40"/>
        <v/>
      </c>
      <c r="B663" s="15"/>
      <c r="C663" s="16"/>
      <c r="D663" s="16"/>
      <c r="E663" s="16"/>
      <c r="F663" s="16"/>
      <c r="G663" s="16"/>
      <c r="H663" s="17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19"/>
    </row>
    <row r="664" spans="1:19" ht="27.95" hidden="1" customHeight="1">
      <c r="A664" s="7" t="str">
        <f t="shared" si="40"/>
        <v/>
      </c>
      <c r="B664" s="15"/>
      <c r="C664" s="16"/>
      <c r="D664" s="16"/>
      <c r="E664" s="16"/>
      <c r="F664" s="16"/>
      <c r="G664" s="16"/>
      <c r="H664" s="17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19"/>
    </row>
    <row r="665" spans="1:19" ht="27.95" hidden="1" customHeight="1">
      <c r="A665" s="7" t="str">
        <f t="shared" si="40"/>
        <v/>
      </c>
      <c r="B665" s="15"/>
      <c r="C665" s="16"/>
      <c r="D665" s="16"/>
      <c r="E665" s="16"/>
      <c r="F665" s="16"/>
      <c r="G665" s="16"/>
      <c r="H665" s="17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19"/>
    </row>
    <row r="666" spans="1:19" ht="27.95" hidden="1" customHeight="1">
      <c r="A666" s="7" t="str">
        <f t="shared" si="40"/>
        <v/>
      </c>
      <c r="B666" s="15"/>
      <c r="C666" s="16"/>
      <c r="D666" s="16"/>
      <c r="E666" s="16"/>
      <c r="F666" s="16"/>
      <c r="G666" s="16"/>
      <c r="H666" s="17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19"/>
    </row>
    <row r="667" spans="1:19" ht="27.95" hidden="1" customHeight="1">
      <c r="A667" s="7" t="str">
        <f t="shared" si="40"/>
        <v/>
      </c>
      <c r="B667" s="15"/>
      <c r="C667" s="16"/>
      <c r="D667" s="16"/>
      <c r="E667" s="16"/>
      <c r="F667" s="16"/>
      <c r="G667" s="16"/>
      <c r="H667" s="17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19"/>
    </row>
    <row r="668" spans="1:19" ht="27.95" hidden="1" customHeight="1">
      <c r="A668" s="7" t="str">
        <f t="shared" si="40"/>
        <v/>
      </c>
      <c r="B668" s="15"/>
      <c r="C668" s="16"/>
      <c r="D668" s="16"/>
      <c r="E668" s="16"/>
      <c r="F668" s="16"/>
      <c r="G668" s="16"/>
      <c r="H668" s="17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19"/>
    </row>
    <row r="669" spans="1:19" ht="27.95" hidden="1" customHeight="1">
      <c r="A669" s="7" t="str">
        <f t="shared" si="40"/>
        <v/>
      </c>
      <c r="B669" s="15"/>
      <c r="C669" s="16"/>
      <c r="D669" s="16"/>
      <c r="E669" s="16"/>
      <c r="F669" s="16"/>
      <c r="G669" s="16"/>
      <c r="H669" s="17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19"/>
    </row>
    <row r="670" spans="1:19" ht="27.95" hidden="1" customHeight="1">
      <c r="A670" s="7" t="str">
        <f t="shared" si="40"/>
        <v/>
      </c>
      <c r="B670" s="15"/>
      <c r="C670" s="16"/>
      <c r="D670" s="16"/>
      <c r="E670" s="16"/>
      <c r="F670" s="16"/>
      <c r="G670" s="16"/>
      <c r="H670" s="17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19"/>
    </row>
    <row r="671" spans="1:19" ht="27.95" hidden="1" customHeight="1">
      <c r="A671" s="7" t="str">
        <f t="shared" si="40"/>
        <v/>
      </c>
      <c r="B671" s="15"/>
      <c r="C671" s="16"/>
      <c r="D671" s="16"/>
      <c r="E671" s="16"/>
      <c r="F671" s="16"/>
      <c r="G671" s="16"/>
      <c r="H671" s="17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19"/>
    </row>
    <row r="672" spans="1:19" ht="27.95" hidden="1" customHeight="1">
      <c r="A672" s="7" t="str">
        <f t="shared" ref="A672:A694" si="41">IF(B672="","","PRINT")</f>
        <v/>
      </c>
      <c r="B672" s="15"/>
      <c r="C672" s="16"/>
      <c r="D672" s="16"/>
      <c r="E672" s="16"/>
      <c r="F672" s="16"/>
      <c r="G672" s="16"/>
      <c r="H672" s="17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19"/>
    </row>
    <row r="673" spans="1:19" ht="27.95" hidden="1" customHeight="1">
      <c r="A673" s="7" t="str">
        <f t="shared" si="41"/>
        <v/>
      </c>
      <c r="B673" s="15"/>
      <c r="C673" s="16"/>
      <c r="D673" s="16"/>
      <c r="E673" s="16"/>
      <c r="F673" s="16"/>
      <c r="G673" s="16"/>
      <c r="H673" s="17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19"/>
    </row>
    <row r="674" spans="1:19" ht="27.95" hidden="1" customHeight="1">
      <c r="A674" s="7" t="str">
        <f t="shared" si="41"/>
        <v/>
      </c>
      <c r="B674" s="15"/>
      <c r="C674" s="16"/>
      <c r="D674" s="16"/>
      <c r="E674" s="16"/>
      <c r="F674" s="16"/>
      <c r="G674" s="16"/>
      <c r="H674" s="17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19"/>
    </row>
    <row r="675" spans="1:19" ht="27.95" hidden="1" customHeight="1">
      <c r="A675" s="7" t="str">
        <f t="shared" si="41"/>
        <v/>
      </c>
      <c r="B675" s="15"/>
      <c r="C675" s="16"/>
      <c r="D675" s="16"/>
      <c r="E675" s="16"/>
      <c r="F675" s="16"/>
      <c r="G675" s="16"/>
      <c r="H675" s="17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19"/>
    </row>
    <row r="676" spans="1:19" ht="27.95" hidden="1" customHeight="1">
      <c r="A676" s="7" t="str">
        <f t="shared" si="41"/>
        <v/>
      </c>
      <c r="B676" s="15"/>
      <c r="C676" s="16"/>
      <c r="D676" s="16"/>
      <c r="E676" s="16"/>
      <c r="F676" s="16"/>
      <c r="G676" s="16"/>
      <c r="H676" s="17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19"/>
    </row>
    <row r="677" spans="1:19" ht="27.95" hidden="1" customHeight="1">
      <c r="A677" s="7" t="str">
        <f t="shared" si="41"/>
        <v/>
      </c>
      <c r="B677" s="15"/>
      <c r="C677" s="16"/>
      <c r="D677" s="16"/>
      <c r="E677" s="16"/>
      <c r="F677" s="16"/>
      <c r="G677" s="16"/>
      <c r="H677" s="17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19"/>
    </row>
    <row r="678" spans="1:19" ht="27.95" hidden="1" customHeight="1">
      <c r="A678" s="7" t="str">
        <f t="shared" si="41"/>
        <v/>
      </c>
      <c r="B678" s="15"/>
      <c r="C678" s="16"/>
      <c r="D678" s="16"/>
      <c r="E678" s="16"/>
      <c r="F678" s="16"/>
      <c r="G678" s="16"/>
      <c r="H678" s="17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19"/>
    </row>
    <row r="679" spans="1:19" ht="27.95" hidden="1" customHeight="1">
      <c r="A679" s="7" t="str">
        <f t="shared" si="41"/>
        <v/>
      </c>
      <c r="B679" s="15"/>
      <c r="C679" s="16"/>
      <c r="D679" s="16"/>
      <c r="E679" s="16"/>
      <c r="F679" s="16"/>
      <c r="G679" s="16"/>
      <c r="H679" s="17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19"/>
    </row>
    <row r="680" spans="1:19" ht="27.95" hidden="1" customHeight="1">
      <c r="A680" s="7" t="str">
        <f t="shared" si="41"/>
        <v/>
      </c>
      <c r="B680" s="15"/>
      <c r="C680" s="16"/>
      <c r="D680" s="16"/>
      <c r="E680" s="16"/>
      <c r="F680" s="16"/>
      <c r="G680" s="16"/>
      <c r="H680" s="17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19"/>
    </row>
    <row r="681" spans="1:19" ht="27.95" hidden="1" customHeight="1">
      <c r="A681" s="7" t="str">
        <f t="shared" si="41"/>
        <v/>
      </c>
      <c r="B681" s="15"/>
      <c r="C681" s="16"/>
      <c r="D681" s="16"/>
      <c r="E681" s="16"/>
      <c r="F681" s="16"/>
      <c r="G681" s="16"/>
      <c r="H681" s="17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19"/>
    </row>
    <row r="682" spans="1:19" ht="27.95" hidden="1" customHeight="1">
      <c r="A682" s="7" t="str">
        <f t="shared" si="41"/>
        <v/>
      </c>
      <c r="B682" s="15"/>
      <c r="C682" s="16"/>
      <c r="D682" s="16"/>
      <c r="E682" s="16"/>
      <c r="F682" s="16"/>
      <c r="G682" s="16"/>
      <c r="H682" s="17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19"/>
    </row>
    <row r="683" spans="1:19" ht="27.95" hidden="1" customHeight="1">
      <c r="A683" s="7" t="str">
        <f t="shared" si="41"/>
        <v/>
      </c>
      <c r="B683" s="15"/>
      <c r="C683" s="16"/>
      <c r="D683" s="16"/>
      <c r="E683" s="16"/>
      <c r="F683" s="16"/>
      <c r="G683" s="16"/>
      <c r="H683" s="17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19"/>
    </row>
    <row r="684" spans="1:19" ht="27.95" hidden="1" customHeight="1">
      <c r="A684" s="7" t="str">
        <f t="shared" si="41"/>
        <v/>
      </c>
      <c r="B684" s="15"/>
      <c r="C684" s="16"/>
      <c r="D684" s="16"/>
      <c r="E684" s="16"/>
      <c r="F684" s="16"/>
      <c r="G684" s="16"/>
      <c r="H684" s="17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19"/>
    </row>
    <row r="685" spans="1:19" ht="27.95" hidden="1" customHeight="1">
      <c r="A685" s="7" t="str">
        <f t="shared" si="41"/>
        <v/>
      </c>
      <c r="B685" s="15"/>
      <c r="C685" s="16"/>
      <c r="D685" s="16"/>
      <c r="E685" s="16"/>
      <c r="F685" s="16"/>
      <c r="G685" s="16"/>
      <c r="H685" s="17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19"/>
    </row>
    <row r="686" spans="1:19" ht="27.95" hidden="1" customHeight="1">
      <c r="A686" s="7" t="str">
        <f t="shared" si="41"/>
        <v/>
      </c>
      <c r="B686" s="15"/>
      <c r="C686" s="16"/>
      <c r="D686" s="16"/>
      <c r="E686" s="16"/>
      <c r="F686" s="16"/>
      <c r="G686" s="16"/>
      <c r="H686" s="17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19"/>
    </row>
    <row r="687" spans="1:19" ht="27.95" hidden="1" customHeight="1">
      <c r="A687" s="7" t="str">
        <f t="shared" si="41"/>
        <v/>
      </c>
      <c r="B687" s="15"/>
      <c r="C687" s="16"/>
      <c r="D687" s="16"/>
      <c r="E687" s="16"/>
      <c r="F687" s="16"/>
      <c r="G687" s="16"/>
      <c r="H687" s="17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19"/>
    </row>
    <row r="688" spans="1:19" ht="27.95" hidden="1" customHeight="1">
      <c r="A688" s="7" t="str">
        <f t="shared" si="41"/>
        <v/>
      </c>
      <c r="B688" s="15"/>
      <c r="C688" s="16"/>
      <c r="D688" s="16"/>
      <c r="E688" s="16"/>
      <c r="F688" s="16"/>
      <c r="G688" s="16"/>
      <c r="H688" s="17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19"/>
    </row>
    <row r="689" spans="1:23" ht="27.95" hidden="1" customHeight="1">
      <c r="A689" s="7" t="str">
        <f t="shared" si="41"/>
        <v/>
      </c>
      <c r="B689" s="15"/>
      <c r="C689" s="16"/>
      <c r="D689" s="16"/>
      <c r="E689" s="16"/>
      <c r="F689" s="16"/>
      <c r="G689" s="16"/>
      <c r="H689" s="17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19"/>
    </row>
    <row r="690" spans="1:23" ht="27.95" hidden="1" customHeight="1">
      <c r="A690" s="7" t="str">
        <f t="shared" si="41"/>
        <v/>
      </c>
      <c r="B690" s="15"/>
      <c r="C690" s="16"/>
      <c r="D690" s="16"/>
      <c r="E690" s="16"/>
      <c r="F690" s="16"/>
      <c r="G690" s="16"/>
      <c r="H690" s="17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19"/>
    </row>
    <row r="691" spans="1:23" ht="27.95" hidden="1" customHeight="1">
      <c r="A691" s="7" t="str">
        <f t="shared" si="41"/>
        <v/>
      </c>
      <c r="B691" s="15"/>
      <c r="C691" s="16"/>
      <c r="D691" s="16"/>
      <c r="E691" s="16"/>
      <c r="F691" s="16"/>
      <c r="G691" s="16"/>
      <c r="H691" s="17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19"/>
    </row>
    <row r="692" spans="1:23" ht="27.95" hidden="1" customHeight="1">
      <c r="A692" s="7" t="str">
        <f t="shared" si="41"/>
        <v/>
      </c>
      <c r="B692" s="15"/>
      <c r="C692" s="16"/>
      <c r="D692" s="16"/>
      <c r="E692" s="16"/>
      <c r="F692" s="16"/>
      <c r="G692" s="16"/>
      <c r="H692" s="17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19"/>
    </row>
    <row r="693" spans="1:23" ht="27.95" hidden="1" customHeight="1">
      <c r="A693" s="7" t="str">
        <f t="shared" si="41"/>
        <v/>
      </c>
      <c r="B693" s="15"/>
      <c r="C693" s="16"/>
      <c r="D693" s="16"/>
      <c r="E693" s="16"/>
      <c r="F693" s="16"/>
      <c r="G693" s="16"/>
      <c r="H693" s="17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19"/>
    </row>
    <row r="694" spans="1:23" ht="27.95" hidden="1" customHeight="1">
      <c r="A694" s="7" t="str">
        <f t="shared" si="41"/>
        <v/>
      </c>
      <c r="B694" s="15"/>
      <c r="C694" s="16"/>
      <c r="D694" s="16"/>
      <c r="E694" s="16"/>
      <c r="F694" s="16"/>
      <c r="G694" s="16"/>
      <c r="H694" s="17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19"/>
    </row>
    <row r="695" spans="1:23" ht="27.95" customHeight="1">
      <c r="A695" s="7" t="str">
        <f t="shared" ref="A695:A697" si="42">IF(B695="","","PRINT")</f>
        <v>PRINT</v>
      </c>
      <c r="B695" s="95" t="s">
        <v>11</v>
      </c>
      <c r="C695" s="95"/>
      <c r="D695" s="95"/>
      <c r="E695" s="95"/>
      <c r="F695" s="95"/>
      <c r="G695" s="95"/>
      <c r="H695" s="95"/>
      <c r="I695" s="95"/>
      <c r="J695" s="13">
        <f ca="1">SUBTOTAL(9,J15:J694)</f>
        <v>46</v>
      </c>
      <c r="K695" s="8"/>
      <c r="L695" s="14">
        <f ca="1">SUBTOTAL(9,L15:L694)</f>
        <v>7539.58</v>
      </c>
      <c r="M695" s="28"/>
      <c r="N695" s="14">
        <f>SUBTOTAL(9,N15:N694)</f>
        <v>0</v>
      </c>
      <c r="O695" s="28"/>
      <c r="P695" s="28"/>
      <c r="Q695" s="28"/>
      <c r="R695" s="28"/>
      <c r="S695" s="9"/>
    </row>
    <row r="696" spans="1:23" ht="42.75" customHeight="1">
      <c r="A696" s="7" t="str">
        <f t="shared" si="42"/>
        <v>PRINT</v>
      </c>
      <c r="B696" s="82" t="s">
        <v>15</v>
      </c>
      <c r="C696" s="83"/>
      <c r="D696" s="83"/>
      <c r="E696" s="83"/>
      <c r="F696" s="84"/>
      <c r="G696" s="76" t="s">
        <v>12</v>
      </c>
      <c r="H696" s="77"/>
      <c r="I696" s="77"/>
      <c r="J696" s="78"/>
      <c r="K696" s="60" t="s">
        <v>13</v>
      </c>
      <c r="L696" s="61"/>
      <c r="M696" s="61"/>
      <c r="N696" s="61"/>
      <c r="O696" s="61"/>
      <c r="P696" s="61"/>
      <c r="Q696" s="61"/>
      <c r="R696" s="61"/>
      <c r="S696" s="62"/>
    </row>
    <row r="697" spans="1:23" ht="200.1" customHeight="1">
      <c r="A697" s="7" t="str">
        <f t="shared" si="42"/>
        <v>PRINT</v>
      </c>
      <c r="B697" s="87" t="s">
        <v>21</v>
      </c>
      <c r="C697" s="88"/>
      <c r="D697" s="88"/>
      <c r="E697" s="88"/>
      <c r="F697" s="89"/>
      <c r="G697" s="79" t="s">
        <v>14</v>
      </c>
      <c r="H697" s="80"/>
      <c r="I697" s="80"/>
      <c r="J697" s="81"/>
      <c r="K697" s="53" t="s">
        <v>16</v>
      </c>
      <c r="L697" s="54"/>
      <c r="M697" s="54"/>
      <c r="N697" s="54"/>
      <c r="O697" s="54"/>
      <c r="P697" s="54"/>
      <c r="Q697" s="54"/>
      <c r="R697" s="54"/>
      <c r="S697" s="55"/>
      <c r="W697" s="49"/>
    </row>
  </sheetData>
  <sheetProtection formatCells="0" formatColumns="0" formatRows="0" insertColumns="0" insertRows="0" insertHyperlinks="0" deleteColumns="0" deleteRows="0" sort="0" autoFilter="0" pivotTables="0"/>
  <autoFilter ref="A14:S697" xr:uid="{00000000-0001-0000-0000-000000000000}">
    <filterColumn colId="0">
      <customFilters>
        <customFilter operator="notEqual" val=" "/>
      </customFilters>
    </filterColumn>
  </autoFilter>
  <mergeCells count="24">
    <mergeCell ref="X13:Y13"/>
    <mergeCell ref="B695:I695"/>
    <mergeCell ref="I12:I13"/>
    <mergeCell ref="J12:J13"/>
    <mergeCell ref="K12:K13"/>
    <mergeCell ref="L12:L13"/>
    <mergeCell ref="M12:M13"/>
    <mergeCell ref="N12:N13"/>
    <mergeCell ref="B12:B13"/>
    <mergeCell ref="C12:F13"/>
    <mergeCell ref="G12:G13"/>
    <mergeCell ref="H12:H13"/>
    <mergeCell ref="S12:S13"/>
    <mergeCell ref="B5:S5"/>
    <mergeCell ref="C6:F6"/>
    <mergeCell ref="G6:J6"/>
    <mergeCell ref="K6:S6"/>
    <mergeCell ref="K8:L8"/>
    <mergeCell ref="G696:J696"/>
    <mergeCell ref="G697:J697"/>
    <mergeCell ref="B696:F696"/>
    <mergeCell ref="K10:L10"/>
    <mergeCell ref="B10:H10"/>
    <mergeCell ref="B697:F697"/>
  </mergeCells>
  <phoneticPr fontId="31" type="noConversion"/>
  <conditionalFormatting sqref="C61:C72">
    <cfRule type="duplicateValues" dxfId="175" priority="376"/>
  </conditionalFormatting>
  <conditionalFormatting sqref="C73:C78">
    <cfRule type="duplicateValues" dxfId="174" priority="375"/>
  </conditionalFormatting>
  <conditionalFormatting sqref="C79">
    <cfRule type="duplicateValues" dxfId="173" priority="371"/>
  </conditionalFormatting>
  <conditionalFormatting sqref="C80">
    <cfRule type="duplicateValues" dxfId="172" priority="374"/>
  </conditionalFormatting>
  <conditionalFormatting sqref="C81:C83">
    <cfRule type="duplicateValues" dxfId="171" priority="373"/>
  </conditionalFormatting>
  <conditionalFormatting sqref="C84:C89">
    <cfRule type="duplicateValues" dxfId="170" priority="372"/>
  </conditionalFormatting>
  <conditionalFormatting sqref="C92:C97">
    <cfRule type="duplicateValues" dxfId="169" priority="363"/>
  </conditionalFormatting>
  <conditionalFormatting sqref="C98:C116">
    <cfRule type="duplicateValues" dxfId="168" priority="455"/>
  </conditionalFormatting>
  <conditionalFormatting sqref="C1:E14">
    <cfRule type="duplicateValues" dxfId="167" priority="7128"/>
    <cfRule type="duplicateValues" dxfId="166" priority="7127"/>
    <cfRule type="duplicateValues" dxfId="165" priority="7126"/>
    <cfRule type="duplicateValues" dxfId="164" priority="7125"/>
    <cfRule type="duplicateValues" dxfId="163" priority="7124"/>
    <cfRule type="duplicateValues" dxfId="162" priority="7123"/>
    <cfRule type="duplicateValues" dxfId="161" priority="7122"/>
    <cfRule type="duplicateValues" dxfId="160" priority="7121"/>
    <cfRule type="duplicateValues" dxfId="159" priority="7120"/>
    <cfRule type="duplicateValues" dxfId="158" priority="7119"/>
    <cfRule type="duplicateValues" dxfId="157" priority="7129"/>
    <cfRule type="duplicateValues" dxfId="156" priority="7118"/>
    <cfRule type="duplicateValues" dxfId="155" priority="7117"/>
    <cfRule type="duplicateValues" dxfId="154" priority="7116"/>
    <cfRule type="duplicateValues" dxfId="153" priority="7115"/>
    <cfRule type="duplicateValues" dxfId="152" priority="7114"/>
    <cfRule type="duplicateValues" dxfId="151" priority="7113"/>
    <cfRule type="duplicateValues" dxfId="150" priority="7112"/>
    <cfRule type="duplicateValues" dxfId="149" priority="7111"/>
    <cfRule type="duplicateValues" dxfId="148" priority="7110"/>
    <cfRule type="duplicateValues" dxfId="147" priority="7109"/>
    <cfRule type="duplicateValues" dxfId="146" priority="7108"/>
    <cfRule type="duplicateValues" dxfId="145" priority="7135"/>
    <cfRule type="duplicateValues" dxfId="144" priority="7134"/>
    <cfRule type="duplicateValues" dxfId="143" priority="7133"/>
    <cfRule type="duplicateValues" dxfId="142" priority="7132"/>
    <cfRule type="duplicateValues" dxfId="141" priority="7131"/>
    <cfRule type="duplicateValues" dxfId="140" priority="7130"/>
    <cfRule type="duplicateValues" dxfId="139" priority="7107"/>
    <cfRule type="duplicateValues" dxfId="138" priority="7106"/>
    <cfRule type="duplicateValues" dxfId="137" priority="7105"/>
    <cfRule type="duplicateValues" dxfId="136" priority="7104"/>
    <cfRule type="duplicateValues" dxfId="135" priority="7103"/>
    <cfRule type="duplicateValues" dxfId="134" priority="7102"/>
    <cfRule type="duplicateValues" dxfId="133" priority="7143"/>
    <cfRule type="duplicateValues" dxfId="132" priority="7082"/>
    <cfRule type="duplicateValues" dxfId="131" priority="7136"/>
    <cfRule type="duplicateValues" dxfId="130" priority="7137"/>
    <cfRule type="duplicateValues" dxfId="129" priority="7138"/>
    <cfRule type="duplicateValues" dxfId="128" priority="7139"/>
    <cfRule type="duplicateValues" dxfId="127" priority="7140"/>
    <cfRule type="duplicateValues" dxfId="126" priority="7141"/>
    <cfRule type="duplicateValues" dxfId="125" priority="7142"/>
  </conditionalFormatting>
  <conditionalFormatting sqref="C117:E1048576 C1:E14 D15:E116">
    <cfRule type="duplicateValues" dxfId="124" priority="1610"/>
  </conditionalFormatting>
  <conditionalFormatting sqref="C117:E1048576 C1:E14 D21:E116">
    <cfRule type="duplicateValues" dxfId="123" priority="1695"/>
  </conditionalFormatting>
  <conditionalFormatting sqref="C117:E1048576 C1:E14 D37:E116">
    <cfRule type="duplicateValues" dxfId="122" priority="1979"/>
    <cfRule type="duplicateValues" dxfId="121" priority="1991"/>
    <cfRule type="duplicateValues" dxfId="120" priority="2023"/>
    <cfRule type="duplicateValues" dxfId="119" priority="1792"/>
    <cfRule type="duplicateValues" dxfId="118" priority="1733"/>
    <cfRule type="duplicateValues" dxfId="117" priority="1736"/>
    <cfRule type="duplicateValues" dxfId="116" priority="1798"/>
    <cfRule type="duplicateValues" dxfId="115" priority="1896"/>
    <cfRule type="duplicateValues" dxfId="114" priority="2067"/>
    <cfRule type="duplicateValues" dxfId="113" priority="2040"/>
  </conditionalFormatting>
  <conditionalFormatting sqref="C117:E1048576 D37:E116">
    <cfRule type="duplicateValues" dxfId="112" priority="2545"/>
    <cfRule type="duplicateValues" dxfId="111" priority="2572"/>
    <cfRule type="duplicateValues" dxfId="110" priority="2763"/>
    <cfRule type="duplicateValues" dxfId="109" priority="2916"/>
    <cfRule type="duplicateValues" dxfId="108" priority="2917"/>
    <cfRule type="duplicateValues" dxfId="107" priority="3248"/>
    <cfRule type="duplicateValues" dxfId="106" priority="3249"/>
    <cfRule type="duplicateValues" dxfId="105" priority="3425"/>
    <cfRule type="duplicateValues" dxfId="104" priority="3745"/>
    <cfRule type="duplicateValues" dxfId="103" priority="3758"/>
    <cfRule type="duplicateValues" dxfId="102" priority="3761"/>
    <cfRule type="duplicateValues" dxfId="101" priority="3826"/>
    <cfRule type="duplicateValues" dxfId="100" priority="3850"/>
    <cfRule type="duplicateValues" dxfId="99" priority="3955"/>
    <cfRule type="duplicateValues" dxfId="98" priority="3960"/>
    <cfRule type="duplicateValues" dxfId="97" priority="3961"/>
    <cfRule type="duplicateValues" dxfId="96" priority="3983"/>
    <cfRule type="duplicateValues" dxfId="95" priority="4012"/>
    <cfRule type="duplicateValues" dxfId="94" priority="4015"/>
    <cfRule type="duplicateValues" dxfId="93" priority="4210"/>
    <cfRule type="duplicateValues" dxfId="92" priority="4217"/>
    <cfRule type="duplicateValues" dxfId="91" priority="4228"/>
    <cfRule type="duplicateValues" dxfId="90" priority="4272"/>
    <cfRule type="duplicateValues" dxfId="89" priority="4297"/>
    <cfRule type="duplicateValues" dxfId="88" priority="4303"/>
    <cfRule type="duplicateValues" dxfId="87" priority="4315"/>
    <cfRule type="duplicateValues" dxfId="86" priority="4343"/>
    <cfRule type="duplicateValues" dxfId="85" priority="4365"/>
    <cfRule type="duplicateValues" dxfId="84" priority="4393"/>
    <cfRule type="duplicateValues" dxfId="83" priority="4489"/>
    <cfRule type="duplicateValues" dxfId="82" priority="4555"/>
    <cfRule type="duplicateValues" dxfId="81" priority="4662"/>
    <cfRule type="duplicateValues" dxfId="80" priority="4732"/>
    <cfRule type="duplicateValues" dxfId="79" priority="4775"/>
    <cfRule type="duplicateValues" dxfId="78" priority="4841"/>
    <cfRule type="duplicateValues" dxfId="77" priority="4922"/>
    <cfRule type="duplicateValues" dxfId="76" priority="5027"/>
    <cfRule type="duplicateValues" dxfId="75" priority="5028"/>
    <cfRule type="duplicateValues" dxfId="74" priority="5132"/>
    <cfRule type="duplicateValues" dxfId="73" priority="5371"/>
    <cfRule type="duplicateValues" dxfId="72" priority="5558"/>
    <cfRule type="duplicateValues" dxfId="71" priority="5614"/>
    <cfRule type="duplicateValues" dxfId="70" priority="7002"/>
    <cfRule type="duplicateValues" dxfId="69" priority="7019"/>
    <cfRule type="duplicateValues" dxfId="68" priority="7020"/>
    <cfRule type="duplicateValues" dxfId="67" priority="7021"/>
    <cfRule type="duplicateValues" dxfId="66" priority="7022"/>
    <cfRule type="duplicateValues" dxfId="65" priority="7023"/>
    <cfRule type="duplicateValues" dxfId="64" priority="7024"/>
    <cfRule type="duplicateValues" dxfId="63" priority="7025"/>
    <cfRule type="duplicateValues" dxfId="62" priority="7026"/>
    <cfRule type="duplicateValues" dxfId="61" priority="7035"/>
    <cfRule type="duplicateValues" dxfId="60" priority="7056"/>
    <cfRule type="duplicateValues" dxfId="59" priority="7057"/>
    <cfRule type="duplicateValues" dxfId="58" priority="7058"/>
    <cfRule type="duplicateValues" dxfId="57" priority="7066"/>
    <cfRule type="duplicateValues" dxfId="56" priority="7074"/>
    <cfRule type="duplicateValues" dxfId="55" priority="7076"/>
    <cfRule type="duplicateValues" dxfId="54" priority="7077"/>
    <cfRule type="duplicateValues" dxfId="53" priority="1966"/>
    <cfRule type="duplicateValues" dxfId="52" priority="2219"/>
    <cfRule type="duplicateValues" dxfId="51" priority="2231"/>
    <cfRule type="duplicateValues" dxfId="50" priority="2394"/>
    <cfRule type="duplicateValues" dxfId="49" priority="2398"/>
    <cfRule type="duplicateValues" dxfId="48" priority="2418"/>
    <cfRule type="duplicateValues" dxfId="47" priority="2438"/>
    <cfRule type="duplicateValues" dxfId="46" priority="2510"/>
  </conditionalFormatting>
  <conditionalFormatting sqref="C690:E690">
    <cfRule type="duplicateValues" dxfId="45" priority="7079"/>
  </conditionalFormatting>
  <conditionalFormatting sqref="C691:E691">
    <cfRule type="duplicateValues" dxfId="44" priority="7080"/>
  </conditionalFormatting>
  <conditionalFormatting sqref="C692:E1048576 C1:E14 C117:E689 D37:E116">
    <cfRule type="duplicateValues" dxfId="43" priority="7081"/>
  </conditionalFormatting>
  <conditionalFormatting sqref="D15:E116">
    <cfRule type="duplicateValues" dxfId="42" priority="8711"/>
  </conditionalFormatting>
  <conditionalFormatting sqref="D17:E20">
    <cfRule type="duplicateValues" dxfId="41" priority="8715"/>
  </conditionalFormatting>
  <conditionalFormatting sqref="D17:E116">
    <cfRule type="duplicateValues" dxfId="40" priority="8714"/>
  </conditionalFormatting>
  <conditionalFormatting sqref="D21:E24">
    <cfRule type="duplicateValues" dxfId="39" priority="1719"/>
  </conditionalFormatting>
  <conditionalFormatting sqref="D25:E32 E31:E116">
    <cfRule type="duplicateValues" dxfId="38" priority="1718"/>
  </conditionalFormatting>
  <conditionalFormatting sqref="D33:E36">
    <cfRule type="duplicateValues" dxfId="37" priority="1717"/>
  </conditionalFormatting>
  <conditionalFormatting sqref="E31:E116 D15:E31">
    <cfRule type="duplicateValues" dxfId="36" priority="8421"/>
  </conditionalFormatting>
  <conditionalFormatting sqref="E31:E116 D17:E31">
    <cfRule type="duplicateValues" dxfId="35" priority="8423"/>
  </conditionalFormatting>
  <conditionalFormatting sqref="M15">
    <cfRule type="duplicateValues" dxfId="34" priority="8212"/>
  </conditionalFormatting>
  <conditionalFormatting sqref="O61:O89">
    <cfRule type="duplicateValues" dxfId="33" priority="370"/>
    <cfRule type="duplicateValues" dxfId="32" priority="368"/>
    <cfRule type="duplicateValues" dxfId="31" priority="367"/>
  </conditionalFormatting>
  <conditionalFormatting sqref="O90:O91">
    <cfRule type="duplicateValues" dxfId="30" priority="366"/>
    <cfRule type="duplicateValues" dxfId="29" priority="365"/>
    <cfRule type="duplicateValues" dxfId="28" priority="364"/>
  </conditionalFormatting>
  <conditionalFormatting sqref="O92:O97">
    <cfRule type="duplicateValues" dxfId="27" priority="360"/>
    <cfRule type="duplicateValues" dxfId="26" priority="361"/>
    <cfRule type="duplicateValues" dxfId="25" priority="362"/>
  </conditionalFormatting>
  <conditionalFormatting sqref="O98:O116">
    <cfRule type="duplicateValues" dxfId="24" priority="452"/>
    <cfRule type="duplicateValues" dxfId="23" priority="454"/>
  </conditionalFormatting>
  <conditionalFormatting sqref="O117:O695 O1:O14 O697:O1048576">
    <cfRule type="duplicateValues" dxfId="22" priority="7255"/>
  </conditionalFormatting>
  <conditionalFormatting sqref="O698:O1048576 O1:O14 O117:O695">
    <cfRule type="duplicateValues" dxfId="21" priority="7260"/>
  </conditionalFormatting>
  <conditionalFormatting sqref="O698:O1048576">
    <cfRule type="duplicateValues" dxfId="20" priority="1815"/>
  </conditionalFormatting>
  <conditionalFormatting sqref="C15:C56">
    <cfRule type="duplicateValues" dxfId="19" priority="20"/>
  </conditionalFormatting>
  <conditionalFormatting sqref="C57">
    <cfRule type="duplicateValues" dxfId="18" priority="19"/>
  </conditionalFormatting>
  <conditionalFormatting sqref="C58:C60">
    <cfRule type="duplicateValues" dxfId="17" priority="18"/>
  </conditionalFormatting>
  <conditionalFormatting sqref="O17:O21 O25:O60">
    <cfRule type="duplicateValues" dxfId="16" priority="14"/>
    <cfRule type="duplicateValues" dxfId="15" priority="15"/>
  </conditionalFormatting>
  <conditionalFormatting sqref="O15:O60">
    <cfRule type="duplicateValues" dxfId="14" priority="1"/>
  </conditionalFormatting>
  <conditionalFormatting sqref="O15">
    <cfRule type="duplicateValues" dxfId="13" priority="5"/>
    <cfRule type="duplicateValues" dxfId="12" priority="6"/>
    <cfRule type="duplicateValues" dxfId="11" priority="7"/>
  </conditionalFormatting>
  <conditionalFormatting sqref="O16">
    <cfRule type="duplicateValues" dxfId="10" priority="2"/>
    <cfRule type="duplicateValues" dxfId="9" priority="3"/>
    <cfRule type="duplicateValues" dxfId="8" priority="4"/>
  </conditionalFormatting>
  <conditionalFormatting sqref="O22:O23">
    <cfRule type="duplicateValues" dxfId="7" priority="11"/>
    <cfRule type="duplicateValues" dxfId="6" priority="12"/>
    <cfRule type="duplicateValues" dxfId="5" priority="13"/>
  </conditionalFormatting>
  <conditionalFormatting sqref="O24">
    <cfRule type="duplicateValues" dxfId="4" priority="8"/>
    <cfRule type="duplicateValues" dxfId="3" priority="9"/>
    <cfRule type="duplicateValues" dxfId="2" priority="10"/>
  </conditionalFormatting>
  <conditionalFormatting sqref="O26">
    <cfRule type="duplicateValues" dxfId="1" priority="16"/>
  </conditionalFormatting>
  <conditionalFormatting sqref="O27:O60 O17:O21 O25">
    <cfRule type="duplicateValues" dxfId="0" priority="17"/>
  </conditionalFormatting>
  <printOptions horizontalCentered="1"/>
  <pageMargins left="0.25" right="0.25" top="0.4871875" bottom="0.5" header="0.3" footer="0.3"/>
  <pageSetup paperSize="9" scale="22" orientation="portrait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2E3E-A6A1-4ED0-8B0F-D172ADE426DD}">
  <dimension ref="D3:N93"/>
  <sheetViews>
    <sheetView topLeftCell="A46" zoomScaleNormal="100" workbookViewId="0">
      <selection activeCell="J61" sqref="J61"/>
    </sheetView>
  </sheetViews>
  <sheetFormatPr defaultRowHeight="15"/>
  <cols>
    <col min="4" max="4" width="16.7109375" customWidth="1"/>
    <col min="7" max="7" width="18.42578125" customWidth="1"/>
    <col min="12" max="12" width="19.85546875" customWidth="1"/>
  </cols>
  <sheetData>
    <row r="3" spans="4:8">
      <c r="D3" s="57" t="e">
        <f>'BIÊN BẢN BÀN GIAO'!#REF!</f>
        <v>#REF!</v>
      </c>
      <c r="E3" s="57" t="e">
        <f>'BIÊN BẢN BÀN GIAO'!#REF!</f>
        <v>#REF!</v>
      </c>
    </row>
    <row r="4" spans="4:8">
      <c r="D4" s="57" t="e">
        <f>'BIÊN BẢN BÀN GIAO'!#REF!</f>
        <v>#REF!</v>
      </c>
      <c r="E4" s="57" t="e">
        <f>'BIÊN BẢN BÀN GIAO'!#REF!</f>
        <v>#REF!</v>
      </c>
    </row>
    <row r="5" spans="4:8">
      <c r="D5" s="57" t="e">
        <f>'BIÊN BẢN BÀN GIAO'!#REF!</f>
        <v>#REF!</v>
      </c>
      <c r="E5" s="57" t="e">
        <f>'BIÊN BẢN BÀN GIAO'!#REF!</f>
        <v>#REF!</v>
      </c>
      <c r="F5">
        <v>2</v>
      </c>
      <c r="G5" s="57" t="e">
        <f>'BIÊN BẢN BÀN GIAO'!#REF!</f>
        <v>#REF!</v>
      </c>
      <c r="H5" s="57" t="e">
        <f>'BIÊN BẢN BÀN GIAO'!#REF!</f>
        <v>#REF!</v>
      </c>
    </row>
    <row r="6" spans="4:8">
      <c r="D6" s="57" t="e">
        <f>'BIÊN BẢN BÀN GIAO'!#REF!</f>
        <v>#REF!</v>
      </c>
      <c r="E6" s="57" t="e">
        <f>'BIÊN BẢN BÀN GIAO'!#REF!</f>
        <v>#REF!</v>
      </c>
    </row>
    <row r="7" spans="4:8">
      <c r="D7" s="57" t="e">
        <f>'BIÊN BẢN BÀN GIAO'!#REF!</f>
        <v>#REF!</v>
      </c>
      <c r="E7" s="57" t="e">
        <f>'BIÊN BẢN BÀN GIAO'!#REF!</f>
        <v>#REF!</v>
      </c>
      <c r="F7">
        <v>2</v>
      </c>
      <c r="G7" s="57" t="e">
        <f>'BIÊN BẢN BÀN GIAO'!#REF!</f>
        <v>#REF!</v>
      </c>
      <c r="H7" s="57" t="e">
        <f>'BIÊN BẢN BÀN GIAO'!#REF!</f>
        <v>#REF!</v>
      </c>
    </row>
    <row r="8" spans="4:8">
      <c r="D8" s="57" t="e">
        <f>'BIÊN BẢN BÀN GIAO'!#REF!</f>
        <v>#REF!</v>
      </c>
      <c r="E8" s="57" t="e">
        <f>'BIÊN BẢN BÀN GIAO'!#REF!</f>
        <v>#REF!</v>
      </c>
    </row>
    <row r="9" spans="4:8">
      <c r="D9" s="57" t="e">
        <f>'BIÊN BẢN BÀN GIAO'!#REF!</f>
        <v>#REF!</v>
      </c>
      <c r="E9" s="57" t="e">
        <f>'BIÊN BẢN BÀN GIAO'!#REF!</f>
        <v>#REF!</v>
      </c>
      <c r="F9">
        <v>2</v>
      </c>
      <c r="G9" s="57" t="e">
        <f>'BIÊN BẢN BÀN GIAO'!#REF!</f>
        <v>#REF!</v>
      </c>
      <c r="H9" s="57" t="e">
        <f>'BIÊN BẢN BÀN GIAO'!#REF!</f>
        <v>#REF!</v>
      </c>
    </row>
    <row r="10" spans="4:8">
      <c r="D10" s="57" t="e">
        <f>'BIÊN BẢN BÀN GIAO'!#REF!</f>
        <v>#REF!</v>
      </c>
      <c r="E10" s="57" t="e">
        <f>'BIÊN BẢN BÀN GIAO'!#REF!</f>
        <v>#REF!</v>
      </c>
      <c r="F10">
        <v>2</v>
      </c>
      <c r="G10" s="57" t="e">
        <f>'BIÊN BẢN BÀN GIAO'!#REF!</f>
        <v>#REF!</v>
      </c>
      <c r="H10" s="57" t="e">
        <f>'BIÊN BẢN BÀN GIAO'!#REF!</f>
        <v>#REF!</v>
      </c>
    </row>
    <row r="11" spans="4:8">
      <c r="D11" s="57" t="e">
        <f>'BIÊN BẢN BÀN GIAO'!#REF!</f>
        <v>#REF!</v>
      </c>
      <c r="E11" s="57" t="e">
        <f>'BIÊN BẢN BÀN GIAO'!#REF!</f>
        <v>#REF!</v>
      </c>
    </row>
    <row r="12" spans="4:8">
      <c r="D12" s="57" t="e">
        <f>'BIÊN BẢN BÀN GIAO'!#REF!</f>
        <v>#REF!</v>
      </c>
      <c r="E12" s="57" t="e">
        <f>'BIÊN BẢN BÀN GIAO'!#REF!</f>
        <v>#REF!</v>
      </c>
    </row>
    <row r="13" spans="4:8">
      <c r="D13" s="57" t="e">
        <f>'BIÊN BẢN BÀN GIAO'!#REF!</f>
        <v>#REF!</v>
      </c>
      <c r="E13" s="57" t="e">
        <f>'BIÊN BẢN BÀN GIAO'!#REF!</f>
        <v>#REF!</v>
      </c>
    </row>
    <row r="14" spans="4:8">
      <c r="D14" s="57" t="e">
        <f>'BIÊN BẢN BÀN GIAO'!#REF!</f>
        <v>#REF!</v>
      </c>
      <c r="E14" s="57" t="e">
        <f>'BIÊN BẢN BÀN GIAO'!#REF!</f>
        <v>#REF!</v>
      </c>
    </row>
    <row r="15" spans="4:8">
      <c r="D15" s="57" t="e">
        <f>'BIÊN BẢN BÀN GIAO'!#REF!</f>
        <v>#REF!</v>
      </c>
      <c r="E15" s="57" t="e">
        <f>'BIÊN BẢN BÀN GIAO'!#REF!</f>
        <v>#REF!</v>
      </c>
    </row>
    <row r="16" spans="4:8">
      <c r="D16" s="57" t="e">
        <f>'BIÊN BẢN BÀN GIAO'!#REF!</f>
        <v>#REF!</v>
      </c>
      <c r="E16" s="57" t="e">
        <f>'BIÊN BẢN BÀN GIAO'!#REF!</f>
        <v>#REF!</v>
      </c>
    </row>
    <row r="17" spans="4:14">
      <c r="D17" s="57" t="e">
        <f>'BIÊN BẢN BÀN GIAO'!#REF!</f>
        <v>#REF!</v>
      </c>
      <c r="E17" s="56" t="e">
        <f>'BIÊN BẢN BÀN GIAO'!#REF!</f>
        <v>#REF!</v>
      </c>
      <c r="F17">
        <v>4</v>
      </c>
    </row>
    <row r="18" spans="4:14">
      <c r="D18" s="57" t="e">
        <f>'BIÊN BẢN BÀN GIAO'!#REF!</f>
        <v>#REF!</v>
      </c>
      <c r="E18" s="56" t="e">
        <f>'BIÊN BẢN BÀN GIAO'!#REF!</f>
        <v>#REF!</v>
      </c>
    </row>
    <row r="19" spans="4:14">
      <c r="D19" s="57" t="e">
        <f>'BIÊN BẢN BÀN GIAO'!#REF!</f>
        <v>#REF!</v>
      </c>
      <c r="E19" s="56" t="e">
        <f>'BIÊN BẢN BÀN GIAO'!#REF!</f>
        <v>#REF!</v>
      </c>
    </row>
    <row r="20" spans="4:14">
      <c r="D20" s="57" t="e">
        <f>'BIÊN BẢN BÀN GIAO'!#REF!</f>
        <v>#REF!</v>
      </c>
      <c r="E20" s="56" t="e">
        <f>'BIÊN BẢN BÀN GIAO'!#REF!</f>
        <v>#REF!</v>
      </c>
      <c r="M20" s="56" t="s">
        <v>28</v>
      </c>
      <c r="N20">
        <v>5</v>
      </c>
    </row>
    <row r="21" spans="4:14">
      <c r="D21" s="57" t="e">
        <f>'BIÊN BẢN BÀN GIAO'!#REF!</f>
        <v>#REF!</v>
      </c>
      <c r="E21" s="56" t="e">
        <f>'BIÊN BẢN BÀN GIAO'!#REF!</f>
        <v>#REF!</v>
      </c>
      <c r="M21" s="56" t="s">
        <v>30</v>
      </c>
      <c r="N21">
        <v>9</v>
      </c>
    </row>
    <row r="22" spans="4:14">
      <c r="D22" s="57" t="e">
        <f>'BIÊN BẢN BÀN GIAO'!#REF!</f>
        <v>#REF!</v>
      </c>
      <c r="E22" s="56" t="e">
        <f>'BIÊN BẢN BÀN GIAO'!#REF!</f>
        <v>#REF!</v>
      </c>
      <c r="M22" s="56" t="s">
        <v>29</v>
      </c>
      <c r="N22">
        <v>3</v>
      </c>
    </row>
    <row r="23" spans="4:14">
      <c r="D23" s="57" t="e">
        <f>'BIÊN BẢN BÀN GIAO'!#REF!</f>
        <v>#REF!</v>
      </c>
      <c r="E23" s="56" t="e">
        <f>'BIÊN BẢN BÀN GIAO'!#REF!</f>
        <v>#REF!</v>
      </c>
      <c r="M23" s="56"/>
    </row>
    <row r="24" spans="4:14">
      <c r="D24" s="57" t="e">
        <f>'BIÊN BẢN BÀN GIAO'!#REF!</f>
        <v>#REF!</v>
      </c>
      <c r="E24" s="56" t="e">
        <f>'BIÊN BẢN BÀN GIAO'!#REF!</f>
        <v>#REF!</v>
      </c>
    </row>
    <row r="25" spans="4:14">
      <c r="D25" s="57" t="e">
        <f>'BIÊN BẢN BÀN GIAO'!#REF!</f>
        <v>#REF!</v>
      </c>
      <c r="E25" s="56" t="e">
        <f>'BIÊN BẢN BÀN GIAO'!#REF!</f>
        <v>#REF!</v>
      </c>
    </row>
    <row r="26" spans="4:14">
      <c r="D26" s="57" t="str">
        <f>'BIÊN BẢN BÀN GIAO'!D15</f>
        <v>01ERC3001-001</v>
      </c>
      <c r="E26" s="56" t="str">
        <f>'BIÊN BẢN BÀN GIAO'!E15</f>
        <v>ERC3001</v>
      </c>
    </row>
    <row r="27" spans="4:14">
      <c r="D27" s="57" t="e">
        <f>'BIÊN BẢN BÀN GIAO'!#REF!</f>
        <v>#REF!</v>
      </c>
      <c r="E27" s="56" t="e">
        <f>'BIÊN BẢN BÀN GIAO'!#REF!</f>
        <v>#REF!</v>
      </c>
    </row>
    <row r="28" spans="4:14">
      <c r="D28" s="57" t="str">
        <f>'BIÊN BẢN BÀN GIAO'!D16</f>
        <v>01ERC3001-004</v>
      </c>
      <c r="E28" s="56" t="str">
        <f>'BIÊN BẢN BÀN GIAO'!E16</f>
        <v>ERC3001</v>
      </c>
    </row>
    <row r="29" spans="4:14">
      <c r="D29" s="57" t="e">
        <f>'BIÊN BẢN BÀN GIAO'!#REF!</f>
        <v>#REF!</v>
      </c>
      <c r="E29" s="57" t="e">
        <f>'BIÊN BẢN BÀN GIAO'!#REF!</f>
        <v>#REF!</v>
      </c>
      <c r="L29" s="56" t="e">
        <f t="shared" ref="L29:M29" si="0">D16</f>
        <v>#REF!</v>
      </c>
      <c r="M29" s="56" t="e">
        <f t="shared" si="0"/>
        <v>#REF!</v>
      </c>
      <c r="N29">
        <v>2</v>
      </c>
    </row>
    <row r="30" spans="4:14">
      <c r="D30" s="57" t="e">
        <f>'BIÊN BẢN BÀN GIAO'!#REF!</f>
        <v>#REF!</v>
      </c>
      <c r="E30" s="57" t="e">
        <f>'BIÊN BẢN BÀN GIAO'!#REF!</f>
        <v>#REF!</v>
      </c>
    </row>
    <row r="31" spans="4:14">
      <c r="D31" s="57" t="e">
        <f>'BIÊN BẢN BÀN GIAO'!#REF!</f>
        <v>#REF!</v>
      </c>
      <c r="E31" s="57" t="e">
        <f>'BIÊN BẢN BÀN GIAO'!#REF!</f>
        <v>#REF!</v>
      </c>
      <c r="L31" s="56" t="e">
        <f t="shared" ref="L31:M32" si="1">D34</f>
        <v>#REF!</v>
      </c>
      <c r="M31" s="56" t="e">
        <f t="shared" si="1"/>
        <v>#REF!</v>
      </c>
      <c r="N31">
        <v>2</v>
      </c>
    </row>
    <row r="32" spans="4:14">
      <c r="D32" s="57" t="e">
        <f>'BIÊN BẢN BÀN GIAO'!#REF!</f>
        <v>#REF!</v>
      </c>
      <c r="E32" s="57" t="e">
        <f>'BIÊN BẢN BÀN GIAO'!#REF!</f>
        <v>#REF!</v>
      </c>
      <c r="L32" s="56" t="e">
        <f t="shared" si="1"/>
        <v>#REF!</v>
      </c>
      <c r="M32" s="56" t="e">
        <f t="shared" si="1"/>
        <v>#REF!</v>
      </c>
    </row>
    <row r="33" spans="4:14">
      <c r="D33" s="57" t="e">
        <f>'BIÊN BẢN BÀN GIAO'!#REF!</f>
        <v>#REF!</v>
      </c>
      <c r="E33" s="57" t="e">
        <f>'BIÊN BẢN BÀN GIAO'!#REF!</f>
        <v>#REF!</v>
      </c>
    </row>
    <row r="34" spans="4:14">
      <c r="D34" s="57" t="e">
        <f>'BIÊN BẢN BÀN GIAO'!#REF!</f>
        <v>#REF!</v>
      </c>
      <c r="E34" s="57" t="e">
        <f>'BIÊN BẢN BÀN GIAO'!#REF!</f>
        <v>#REF!</v>
      </c>
      <c r="L34" s="56" t="e">
        <f t="shared" ref="L34:M37" si="2">D72</f>
        <v>#REF!</v>
      </c>
      <c r="M34" s="56" t="e">
        <f t="shared" si="2"/>
        <v>#REF!</v>
      </c>
      <c r="N34">
        <v>1</v>
      </c>
    </row>
    <row r="35" spans="4:14">
      <c r="D35" s="57" t="e">
        <f>'BIÊN BẢN BÀN GIAO'!#REF!</f>
        <v>#REF!</v>
      </c>
      <c r="E35" s="57" t="e">
        <f>'BIÊN BẢN BÀN GIAO'!#REF!</f>
        <v>#REF!</v>
      </c>
      <c r="L35" s="56" t="e">
        <f t="shared" si="2"/>
        <v>#REF!</v>
      </c>
      <c r="M35" s="56" t="e">
        <f t="shared" si="2"/>
        <v>#REF!</v>
      </c>
    </row>
    <row r="36" spans="4:14">
      <c r="D36" s="57" t="e">
        <f>'BIÊN BẢN BÀN GIAO'!#REF!</f>
        <v>#REF!</v>
      </c>
      <c r="E36" s="57" t="e">
        <f>'BIÊN BẢN BÀN GIAO'!#REF!</f>
        <v>#REF!</v>
      </c>
      <c r="L36" s="56" t="e">
        <f t="shared" si="2"/>
        <v>#REF!</v>
      </c>
      <c r="M36" s="56" t="e">
        <f t="shared" si="2"/>
        <v>#REF!</v>
      </c>
      <c r="N36">
        <v>1</v>
      </c>
    </row>
    <row r="37" spans="4:14">
      <c r="D37" s="57" t="e">
        <f>'BIÊN BẢN BÀN GIAO'!#REF!</f>
        <v>#REF!</v>
      </c>
      <c r="E37" s="57" t="e">
        <f>'BIÊN BẢN BÀN GIAO'!#REF!</f>
        <v>#REF!</v>
      </c>
      <c r="L37" s="56" t="str">
        <f t="shared" si="2"/>
        <v>01ERC3001-003</v>
      </c>
      <c r="M37" s="56" t="str">
        <f t="shared" si="2"/>
        <v>ERC3001</v>
      </c>
    </row>
    <row r="38" spans="4:14">
      <c r="D38" s="57" t="e">
        <f>'BIÊN BẢN BÀN GIAO'!#REF!</f>
        <v>#REF!</v>
      </c>
      <c r="E38" s="57" t="e">
        <f>'BIÊN BẢN BÀN GIAO'!#REF!</f>
        <v>#REF!</v>
      </c>
    </row>
    <row r="39" spans="4:14">
      <c r="D39" s="57" t="e">
        <f>'BIÊN BẢN BÀN GIAO'!#REF!</f>
        <v>#REF!</v>
      </c>
      <c r="E39" s="57" t="e">
        <f>'BIÊN BẢN BÀN GIAO'!#REF!</f>
        <v>#REF!</v>
      </c>
    </row>
    <row r="41" spans="4:14">
      <c r="D41" s="57" t="e">
        <f>'BIÊN BẢN BÀN GIAO'!#REF!</f>
        <v>#REF!</v>
      </c>
      <c r="E41" s="56" t="e">
        <f>'BIÊN BẢN BÀN GIAO'!#REF!</f>
        <v>#REF!</v>
      </c>
    </row>
    <row r="43" spans="4:14">
      <c r="L43" s="56"/>
      <c r="M43" s="56"/>
    </row>
    <row r="44" spans="4:14">
      <c r="L44" s="56"/>
      <c r="M44" s="56"/>
    </row>
    <row r="45" spans="4:14">
      <c r="D45" s="57" t="e">
        <f>'BIÊN BẢN BÀN GIAO'!#REF!</f>
        <v>#REF!</v>
      </c>
      <c r="E45" s="57" t="e">
        <f>'BIÊN BẢN BÀN GIAO'!#REF!</f>
        <v>#REF!</v>
      </c>
      <c r="F45">
        <v>2</v>
      </c>
      <c r="L45" s="56"/>
      <c r="M45" s="56"/>
    </row>
    <row r="46" spans="4:14">
      <c r="D46" s="57" t="e">
        <f>'BIÊN BẢN BÀN GIAO'!#REF!</f>
        <v>#REF!</v>
      </c>
      <c r="E46" s="57" t="e">
        <f>'BIÊN BẢN BÀN GIAO'!#REF!</f>
        <v>#REF!</v>
      </c>
    </row>
    <row r="47" spans="4:14">
      <c r="D47" s="57" t="e">
        <f>'BIÊN BẢN BÀN GIAO'!#REF!</f>
        <v>#REF!</v>
      </c>
      <c r="E47" s="57" t="e">
        <f>'BIÊN BẢN BÀN GIAO'!#REF!</f>
        <v>#REF!</v>
      </c>
    </row>
    <row r="48" spans="4:14">
      <c r="D48" s="57" t="e">
        <f>'BIÊN BẢN BÀN GIAO'!#REF!</f>
        <v>#REF!</v>
      </c>
      <c r="E48" s="57" t="e">
        <f>'BIÊN BẢN BÀN GIAO'!#REF!</f>
        <v>#REF!</v>
      </c>
    </row>
    <row r="49" spans="4:10">
      <c r="D49" s="57" t="e">
        <f>'BIÊN BẢN BÀN GIAO'!#REF!</f>
        <v>#REF!</v>
      </c>
      <c r="E49" s="57" t="e">
        <f>'BIÊN BẢN BÀN GIAO'!#REF!</f>
        <v>#REF!</v>
      </c>
    </row>
    <row r="50" spans="4:10">
      <c r="D50" s="57" t="e">
        <f>'BIÊN BẢN BÀN GIAO'!#REF!</f>
        <v>#REF!</v>
      </c>
      <c r="E50" s="57" t="e">
        <f>'BIÊN BẢN BÀN GIAO'!#REF!</f>
        <v>#REF!</v>
      </c>
    </row>
    <row r="51" spans="4:10">
      <c r="D51" s="57" t="e">
        <f>'BIÊN BẢN BÀN GIAO'!#REF!</f>
        <v>#REF!</v>
      </c>
      <c r="E51" s="57" t="e">
        <f>'BIÊN BẢN BÀN GIAO'!#REF!</f>
        <v>#REF!</v>
      </c>
    </row>
    <row r="52" spans="4:10">
      <c r="D52" s="57" t="e">
        <f>'BIÊN BẢN BÀN GIAO'!#REF!</f>
        <v>#REF!</v>
      </c>
      <c r="E52" s="57" t="e">
        <f>'BIÊN BẢN BÀN GIAO'!#REF!</f>
        <v>#REF!</v>
      </c>
    </row>
    <row r="53" spans="4:10">
      <c r="D53" s="57" t="e">
        <f>'BIÊN BẢN BÀN GIAO'!#REF!</f>
        <v>#REF!</v>
      </c>
      <c r="E53" s="57" t="e">
        <f>'BIÊN BẢN BÀN GIAO'!#REF!</f>
        <v>#REF!</v>
      </c>
      <c r="F53">
        <v>6</v>
      </c>
    </row>
    <row r="54" spans="4:10">
      <c r="D54" s="57" t="e">
        <f>'BIÊN BẢN BÀN GIAO'!#REF!</f>
        <v>#REF!</v>
      </c>
      <c r="E54" s="57" t="e">
        <f>'BIÊN BẢN BÀN GIAO'!#REF!</f>
        <v>#REF!</v>
      </c>
    </row>
    <row r="55" spans="4:10">
      <c r="D55" s="57" t="e">
        <f>'BIÊN BẢN BÀN GIAO'!#REF!</f>
        <v>#REF!</v>
      </c>
      <c r="E55" s="57" t="e">
        <f>'BIÊN BẢN BÀN GIAO'!#REF!</f>
        <v>#REF!</v>
      </c>
    </row>
    <row r="56" spans="4:10">
      <c r="D56" s="57" t="e">
        <f>'BIÊN BẢN BÀN GIAO'!#REF!</f>
        <v>#REF!</v>
      </c>
      <c r="E56" s="57" t="e">
        <f>'BIÊN BẢN BÀN GIAO'!#REF!</f>
        <v>#REF!</v>
      </c>
    </row>
    <row r="57" spans="4:10">
      <c r="D57" s="57" t="e">
        <f>'BIÊN BẢN BÀN GIAO'!#REF!</f>
        <v>#REF!</v>
      </c>
      <c r="E57" s="57" t="e">
        <f>'BIÊN BẢN BÀN GIAO'!#REF!</f>
        <v>#REF!</v>
      </c>
    </row>
    <row r="58" spans="4:10">
      <c r="D58" s="57" t="e">
        <f>'BIÊN BẢN BÀN GIAO'!#REF!</f>
        <v>#REF!</v>
      </c>
      <c r="E58" s="57" t="e">
        <f>'BIÊN BẢN BÀN GIAO'!#REF!</f>
        <v>#REF!</v>
      </c>
    </row>
    <row r="59" spans="4:10">
      <c r="D59" s="57" t="e">
        <f>'BIÊN BẢN BÀN GIAO'!#REF!</f>
        <v>#REF!</v>
      </c>
      <c r="E59" s="57" t="e">
        <f>'BIÊN BẢN BÀN GIAO'!#REF!</f>
        <v>#REF!</v>
      </c>
    </row>
    <row r="60" spans="4:10">
      <c r="D60" s="57" t="e">
        <f>'BIÊN BẢN BÀN GIAO'!#REF!</f>
        <v>#REF!</v>
      </c>
      <c r="E60" s="57" t="e">
        <f>'BIÊN BẢN BÀN GIAO'!#REF!</f>
        <v>#REF!</v>
      </c>
      <c r="J60">
        <f>25+120+1188+1050+1050</f>
        <v>3433</v>
      </c>
    </row>
    <row r="61" spans="4:10">
      <c r="D61" s="57" t="e">
        <f>'BIÊN BẢN BÀN GIAO'!#REF!</f>
        <v>#REF!</v>
      </c>
      <c r="E61" s="57" t="e">
        <f>'BIÊN BẢN BÀN GIAO'!#REF!</f>
        <v>#REF!</v>
      </c>
    </row>
    <row r="62" spans="4:10">
      <c r="D62" s="57" t="e">
        <f>'BIÊN BẢN BÀN GIAO'!#REF!</f>
        <v>#REF!</v>
      </c>
      <c r="E62" s="57" t="e">
        <f>'BIÊN BẢN BÀN GIAO'!#REF!</f>
        <v>#REF!</v>
      </c>
    </row>
    <row r="63" spans="4:10">
      <c r="D63" s="57" t="e">
        <f>'BIÊN BẢN BÀN GIAO'!#REF!</f>
        <v>#REF!</v>
      </c>
      <c r="E63" s="57" t="e">
        <f>'BIÊN BẢN BÀN GIAO'!#REF!</f>
        <v>#REF!</v>
      </c>
    </row>
    <row r="64" spans="4:10">
      <c r="D64" s="57" t="e">
        <f>'BIÊN BẢN BÀN GIAO'!#REF!</f>
        <v>#REF!</v>
      </c>
      <c r="E64" s="57" t="e">
        <f>'BIÊN BẢN BÀN GIAO'!#REF!</f>
        <v>#REF!</v>
      </c>
    </row>
    <row r="65" spans="4:6">
      <c r="D65" s="57" t="e">
        <f>'BIÊN BẢN BÀN GIAO'!#REF!</f>
        <v>#REF!</v>
      </c>
      <c r="E65" s="57" t="e">
        <f>'BIÊN BẢN BÀN GIAO'!#REF!</f>
        <v>#REF!</v>
      </c>
    </row>
    <row r="66" spans="4:6">
      <c r="D66" s="57" t="e">
        <f>'BIÊN BẢN BÀN GIAO'!#REF!</f>
        <v>#REF!</v>
      </c>
      <c r="E66" s="57" t="e">
        <f>'BIÊN BẢN BÀN GIAO'!#REF!</f>
        <v>#REF!</v>
      </c>
    </row>
    <row r="67" spans="4:6">
      <c r="D67" s="57" t="e">
        <f>'BIÊN BẢN BÀN GIAO'!#REF!</f>
        <v>#REF!</v>
      </c>
      <c r="E67" s="57" t="e">
        <f>'BIÊN BẢN BÀN GIAO'!#REF!</f>
        <v>#REF!</v>
      </c>
    </row>
    <row r="68" spans="4:6">
      <c r="D68" s="57" t="e">
        <f>'BIÊN BẢN BÀN GIAO'!#REF!</f>
        <v>#REF!</v>
      </c>
      <c r="E68" s="57" t="e">
        <f>'BIÊN BẢN BÀN GIAO'!#REF!</f>
        <v>#REF!</v>
      </c>
    </row>
    <row r="69" spans="4:6">
      <c r="D69" s="57" t="e">
        <f>'BIÊN BẢN BÀN GIAO'!#REF!</f>
        <v>#REF!</v>
      </c>
      <c r="E69" s="56" t="e">
        <f>'BIÊN BẢN BÀN GIAO'!#REF!</f>
        <v>#REF!</v>
      </c>
    </row>
    <row r="70" spans="4:6">
      <c r="D70" s="57" t="s">
        <v>31</v>
      </c>
      <c r="E70" s="57" t="e">
        <f>'BIÊN BẢN BÀN GIAO'!#REF!</f>
        <v>#REF!</v>
      </c>
    </row>
    <row r="71" spans="4:6">
      <c r="D71" s="57" t="e">
        <f>'BIÊN BẢN BÀN GIAO'!#REF!</f>
        <v>#REF!</v>
      </c>
      <c r="E71" s="57" t="e">
        <f>'BIÊN BẢN BÀN GIAO'!#REF!</f>
        <v>#REF!</v>
      </c>
    </row>
    <row r="72" spans="4:6">
      <c r="D72" s="57" t="e">
        <f>'BIÊN BẢN BÀN GIAO'!#REF!</f>
        <v>#REF!</v>
      </c>
      <c r="E72" s="57" t="e">
        <f>'BIÊN BẢN BÀN GIAO'!#REF!</f>
        <v>#REF!</v>
      </c>
    </row>
    <row r="73" spans="4:6">
      <c r="D73" s="57" t="e">
        <f>'BIÊN BẢN BÀN GIAO'!#REF!</f>
        <v>#REF!</v>
      </c>
      <c r="E73" s="57" t="e">
        <f>'BIÊN BẢN BÀN GIAO'!#REF!</f>
        <v>#REF!</v>
      </c>
    </row>
    <row r="74" spans="4:6">
      <c r="D74" s="57" t="e">
        <f>'BIÊN BẢN BÀN GIAO'!#REF!</f>
        <v>#REF!</v>
      </c>
      <c r="E74" s="57" t="e">
        <f>'BIÊN BẢN BÀN GIAO'!#REF!</f>
        <v>#REF!</v>
      </c>
    </row>
    <row r="75" spans="4:6">
      <c r="D75" s="57" t="str">
        <f>'BIÊN BẢN BÀN GIAO'!D17</f>
        <v>01ERC3001-003</v>
      </c>
      <c r="E75" s="57" t="str">
        <f>'BIÊN BẢN BÀN GIAO'!E17</f>
        <v>ERC3001</v>
      </c>
    </row>
    <row r="76" spans="4:6">
      <c r="D76" s="57" t="e">
        <f>'BIÊN BẢN BÀN GIAO'!#REF!</f>
        <v>#REF!</v>
      </c>
      <c r="E76" s="57" t="e">
        <f>'BIÊN BẢN BÀN GIAO'!#REF!</f>
        <v>#REF!</v>
      </c>
      <c r="F76">
        <v>2</v>
      </c>
    </row>
    <row r="77" spans="4:6">
      <c r="D77" s="57" t="e">
        <f>'BIÊN BẢN BÀN GIAO'!#REF!</f>
        <v>#REF!</v>
      </c>
      <c r="E77" s="57" t="e">
        <f>'BIÊN BẢN BÀN GIAO'!#REF!</f>
        <v>#REF!</v>
      </c>
    </row>
    <row r="78" spans="4:6">
      <c r="D78" s="57" t="e">
        <f>'BIÊN BẢN BÀN GIAO'!#REF!</f>
        <v>#REF!</v>
      </c>
      <c r="E78" s="57" t="e">
        <f>'BIÊN BẢN BÀN GIAO'!#REF!</f>
        <v>#REF!</v>
      </c>
    </row>
    <row r="79" spans="4:6">
      <c r="D79" s="57" t="e">
        <f>'BIÊN BẢN BÀN GIAO'!#REF!</f>
        <v>#REF!</v>
      </c>
      <c r="E79" s="57" t="e">
        <f>'BIÊN BẢN BÀN GIAO'!#REF!</f>
        <v>#REF!</v>
      </c>
    </row>
    <row r="80" spans="4:6">
      <c r="D80" s="57" t="e">
        <f>'BIÊN BẢN BÀN GIAO'!#REF!</f>
        <v>#REF!</v>
      </c>
      <c r="E80" s="57" t="e">
        <f>'BIÊN BẢN BÀN GIAO'!#REF!</f>
        <v>#REF!</v>
      </c>
      <c r="F80">
        <v>2</v>
      </c>
    </row>
    <row r="81" spans="4:6">
      <c r="D81" s="57" t="e">
        <f>'BIÊN BẢN BÀN GIAO'!#REF!</f>
        <v>#REF!</v>
      </c>
      <c r="E81" s="57" t="e">
        <f>'BIÊN BẢN BÀN GIAO'!#REF!</f>
        <v>#REF!</v>
      </c>
    </row>
    <row r="82" spans="4:6">
      <c r="D82" s="57" t="e">
        <f>'BIÊN BẢN BÀN GIAO'!#REF!</f>
        <v>#REF!</v>
      </c>
      <c r="E82" s="57" t="e">
        <f>'BIÊN BẢN BÀN GIAO'!#REF!</f>
        <v>#REF!</v>
      </c>
    </row>
    <row r="83" spans="4:6">
      <c r="D83" s="57" t="e">
        <f>'BIÊN BẢN BÀN GIAO'!#REF!</f>
        <v>#REF!</v>
      </c>
      <c r="E83" s="57" t="e">
        <f>'BIÊN BẢN BÀN GIAO'!#REF!</f>
        <v>#REF!</v>
      </c>
    </row>
    <row r="84" spans="4:6">
      <c r="D84" s="57" t="str">
        <f>'BIÊN BẢN BÀN GIAO'!D18</f>
        <v>01ERC3001-002</v>
      </c>
      <c r="E84" s="56" t="str">
        <f>'BIÊN BẢN BÀN GIAO'!E18</f>
        <v>ERC3001</v>
      </c>
    </row>
    <row r="85" spans="4:6">
      <c r="D85" s="57" t="str">
        <f>'BIÊN BẢN BÀN GIAO'!D19</f>
        <v>01ERC3002-002</v>
      </c>
      <c r="E85" s="56" t="str">
        <f>'BIÊN BẢN BÀN GIAO'!E19</f>
        <v>ERC3002</v>
      </c>
    </row>
    <row r="86" spans="4:6">
      <c r="D86" s="57" t="str">
        <f>'BIÊN BẢN BÀN GIAO'!D20</f>
        <v>01ERC3002-001</v>
      </c>
      <c r="E86" s="56" t="str">
        <f>'BIÊN BẢN BÀN GIAO'!E20</f>
        <v>ERC3002</v>
      </c>
    </row>
    <row r="87" spans="4:6">
      <c r="D87" s="57" t="e">
        <f>'BIÊN BẢN BÀN GIAO'!#REF!</f>
        <v>#REF!</v>
      </c>
      <c r="E87" s="57" t="e">
        <f>'BIÊN BẢN BÀN GIAO'!#REF!</f>
        <v>#REF!</v>
      </c>
      <c r="F87">
        <v>2</v>
      </c>
    </row>
    <row r="88" spans="4:6">
      <c r="D88" s="57" t="e">
        <f>'BIÊN BẢN BÀN GIAO'!#REF!</f>
        <v>#REF!</v>
      </c>
      <c r="E88" s="57" t="e">
        <f>'BIÊN BẢN BÀN GIAO'!#REF!</f>
        <v>#REF!</v>
      </c>
    </row>
    <row r="89" spans="4:6">
      <c r="D89" s="57" t="e">
        <f>'BIÊN BẢN BÀN GIAO'!#REF!</f>
        <v>#REF!</v>
      </c>
      <c r="E89" s="57" t="e">
        <f>'BIÊN BẢN BÀN GIAO'!#REF!</f>
        <v>#REF!</v>
      </c>
    </row>
    <row r="90" spans="4:6">
      <c r="D90" s="57" t="e">
        <f>'BIÊN BẢN BÀN GIAO'!#REF!</f>
        <v>#REF!</v>
      </c>
      <c r="E90" s="57" t="e">
        <f>'BIÊN BẢN BÀN GIAO'!#REF!</f>
        <v>#REF!</v>
      </c>
    </row>
    <row r="91" spans="4:6">
      <c r="D91" s="57" t="e">
        <f>'BIÊN BẢN BÀN GIAO'!#REF!</f>
        <v>#REF!</v>
      </c>
      <c r="E91" s="57" t="e">
        <f>'BIÊN BẢN BÀN GIAO'!#REF!</f>
        <v>#REF!</v>
      </c>
    </row>
    <row r="92" spans="4:6">
      <c r="D92" s="58" t="e">
        <f>'BIÊN BẢN BÀN GIAO'!#REF!</f>
        <v>#REF!</v>
      </c>
      <c r="E92" s="58" t="e">
        <f>'BIÊN BẢN BÀN GIAO'!#REF!</f>
        <v>#REF!</v>
      </c>
    </row>
    <row r="93" spans="4:6">
      <c r="D93" s="58" t="e">
        <f>'BIÊN BẢN BÀN GIAO'!#REF!</f>
        <v>#REF!</v>
      </c>
      <c r="E93" s="58" t="e">
        <f>'BIÊN BẢN BÀN GIAO'!#REF!</f>
        <v>#REF!</v>
      </c>
    </row>
  </sheetData>
  <sortState xmlns:xlrd2="http://schemas.microsoft.com/office/spreadsheetml/2017/richdata2" ref="D3:E93">
    <sortCondition ref="D3:D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BIÊN BẢN BÀN GIAO</vt:lpstr>
      <vt:lpstr>Sheet3</vt:lpstr>
      <vt:lpstr>'BIÊN BẢN BÀN GIAO'!Print_Area</vt:lpstr>
      <vt:lpstr>'BIÊN BẢN BÀN GIAO'!Print_Titles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Van Quan</dc:creator>
  <cp:lastModifiedBy>Nguyen Thi Bich Phuong</cp:lastModifiedBy>
  <cp:lastPrinted>2026-02-11T01:49:02Z</cp:lastPrinted>
  <dcterms:created xsi:type="dcterms:W3CDTF">2021-03-13T03:37:22Z</dcterms:created>
  <dcterms:modified xsi:type="dcterms:W3CDTF">2026-05-15T09:39:22Z</dcterms:modified>
</cp:coreProperties>
</file>